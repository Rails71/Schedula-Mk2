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temp\Schedula-Mk2\"/>
    </mc:Choice>
  </mc:AlternateContent>
  <xr:revisionPtr revIDLastSave="0" documentId="13_ncr:1_{6D1976FB-71AA-4DF1-B525-4AD8C07190B9}" xr6:coauthVersionLast="45" xr6:coauthVersionMax="45" xr10:uidLastSave="{00000000-0000-0000-0000-000000000000}"/>
  <bookViews>
    <workbookView xWindow="-120" yWindow="-120" windowWidth="29040" windowHeight="15840" xr2:uid="{E1E5B4D7-FE74-4F12-82F1-AC7093CB141A}"/>
  </bookViews>
  <sheets>
    <sheet name="Control Panel" sheetId="1" r:id="rId1"/>
    <sheet name="Schedula" sheetId="2" r:id="rId2"/>
    <sheet name="Lists" sheetId="6" r:id="rId3"/>
    <sheet name="FixtureDB" sheetId="7" r:id="rId4"/>
    <sheet name="PeopleDB" sheetId="8" r:id="rId5"/>
    <sheet name="Output" sheetId="5" r:id="rId6"/>
  </sheets>
  <functionGroups builtInGroupCount="19"/>
  <definedNames>
    <definedName name="Days_to_pull">'Control Panel'!$C$9</definedName>
    <definedName name="Enable_Proxy">'Control Panel'!$G$8</definedName>
    <definedName name="ExternalData_1" localSheetId="3" hidden="1">FixtureDB!$A$1:$AB$2</definedName>
    <definedName name="ExternalData_1" localSheetId="4" hidden="1">PeopleDB!$A$1:$B$2</definedName>
    <definedName name="firstLastPeople">people[FirstLast]</definedName>
    <definedName name="FixtureFile">'Control Panel'!$G$5</definedName>
    <definedName name="fps">'Control Panel'!$G$12</definedName>
    <definedName name="httpProxy">'Control Panel'!$G$7</definedName>
    <definedName name="PeopleFile">'Control Panel'!$G$6</definedName>
    <definedName name="Season">'Control Panel'!$G$4</definedName>
    <definedName name="Slicer_Area">#N/A</definedName>
    <definedName name="Slicer_Competition_Group">#N/A</definedName>
    <definedName name="Slicer_Competition_Name">#N/A</definedName>
    <definedName name="Slicer_Match_Status">#N/A</definedName>
    <definedName name="Slicer_Organisation">#N/A</definedName>
    <definedName name="start_day">'Control Panel'!$C$10</definedName>
    <definedName name="TF">TrueFalse[TF]</definedName>
    <definedName name="Username">'Control Panel'!$G$9</definedName>
    <definedName name="workbookPath">'Control Panel'!$G$11</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3" i="2" l="1"/>
  <c r="R3" i="2"/>
  <c r="Q3" i="2"/>
  <c r="AF3" i="2"/>
  <c r="AE3" i="2"/>
  <c r="AD3" i="2"/>
  <c r="AC3" i="2"/>
  <c r="AB3" i="2"/>
  <c r="AA3" i="2"/>
  <c r="Z3" i="2"/>
  <c r="N3" i="2" s="1"/>
  <c r="AT3" i="2" s="1"/>
  <c r="Y3" i="2"/>
  <c r="X3" i="2"/>
  <c r="L3" i="2" s="1"/>
  <c r="W3" i="2"/>
  <c r="V3" i="2"/>
  <c r="U3" i="2"/>
  <c r="I3" i="2" s="1"/>
  <c r="AO3" i="2" s="1"/>
  <c r="H3" i="2"/>
  <c r="G3" i="2"/>
  <c r="F3" i="2"/>
  <c r="E3" i="2"/>
  <c r="O3" i="2" s="1"/>
  <c r="D3" i="2"/>
  <c r="C3" i="2"/>
  <c r="P3" i="2" s="1"/>
  <c r="B3" i="2"/>
  <c r="C2" i="8"/>
  <c r="D2" i="8"/>
  <c r="F2" i="8"/>
  <c r="AR3" i="2" l="1"/>
  <c r="AJ3" i="2"/>
  <c r="AK3" i="2"/>
  <c r="AI3" i="2"/>
  <c r="M3" i="2"/>
  <c r="AS3" i="2" s="1"/>
  <c r="AL3" i="2"/>
  <c r="AP3" i="2"/>
  <c r="AG3" i="2"/>
  <c r="K3" i="2"/>
  <c r="AQ3" i="2" s="1"/>
  <c r="E2" i="8"/>
  <c r="G11" i="1" a="1"/>
  <c r="G11" i="1" s="1"/>
  <c r="G12" i="1" s="1"/>
  <c r="AU3" i="2" l="1"/>
  <c r="T3" i="2" s="1"/>
  <c r="AN3" i="2" s="1"/>
  <c r="AH3" i="2"/>
  <c r="AM3" i="2"/>
  <c r="C1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8B6E5E-94FF-45BE-A513-655C93D334BD}" keepAlive="1" name="Query - people" description="Connection to the 'people' query in the workbook." type="5" refreshedVersion="6" saveData="1">
    <dbPr connection="Provider=Microsoft.Mashup.OleDb.1;Data Source=$Workbook$;Location=people;Extended Properties=&quot;&quot;" command="SELECT * FROM [people]"/>
  </connection>
  <connection id="2" xr16:uid="{8DE01C90-EA5C-4F44-AC79-9A08C048F8F2}" keepAlive="1" name="Query - store" description="Connection to the 'store' query in the workbook." type="5" refreshedVersion="6" minRefreshableVersion="3" saveData="1">
    <dbPr connection="Provider=Microsoft.Mashup.OleDb.1;Data Source=$Workbook$;Location=store;Extended Properties=&quot;&quot;" command="SELECT * FROM [stor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<sst xmlns="http://schemas.openxmlformats.org/spreadsheetml/2006/main" count="353" uniqueCount="223">
  <si>
    <t>Days to pull</t>
  </si>
  <si>
    <t>Start day</t>
  </si>
  <si>
    <t>Season</t>
  </si>
  <si>
    <t>Global Parameters</t>
  </si>
  <si>
    <t>Fixture Database</t>
  </si>
  <si>
    <t>store.csv</t>
  </si>
  <si>
    <t>People Database</t>
  </si>
  <si>
    <t>people.csv</t>
  </si>
  <si>
    <t>localhost:8080</t>
  </si>
  <si>
    <t>Enable Proxy</t>
  </si>
  <si>
    <t>TF</t>
  </si>
  <si>
    <t>http(s) proxy</t>
  </si>
  <si>
    <t>Username</t>
  </si>
  <si>
    <t>panel</t>
  </si>
  <si>
    <t>AHRB</t>
  </si>
  <si>
    <t>Set panel to restrict list of referees to a particular schedula panel</t>
  </si>
  <si>
    <t>FixtureID</t>
  </si>
  <si>
    <t>OrgID</t>
  </si>
  <si>
    <t>OrgName</t>
  </si>
  <si>
    <t>SeasonID</t>
  </si>
  <si>
    <t>SeasonName</t>
  </si>
  <si>
    <t>WeekID</t>
  </si>
  <si>
    <t>WeekName</t>
  </si>
  <si>
    <t>Competition</t>
  </si>
  <si>
    <t>Date</t>
  </si>
  <si>
    <t>day</t>
  </si>
  <si>
    <t>Time</t>
  </si>
  <si>
    <t>Home</t>
  </si>
  <si>
    <t>Away</t>
  </si>
  <si>
    <t>Ground</t>
  </si>
  <si>
    <t>Referee</t>
  </si>
  <si>
    <t>AR1</t>
  </si>
  <si>
    <t>AR2</t>
  </si>
  <si>
    <t>Mentor</t>
  </si>
  <si>
    <t>Assessor</t>
  </si>
  <si>
    <t>4th Official</t>
  </si>
  <si>
    <t>Other</t>
  </si>
  <si>
    <t>Status</t>
  </si>
  <si>
    <t>Hawks Nest</t>
  </si>
  <si>
    <t>2020 Trial Matches U18</t>
  </si>
  <si>
    <t>Cancelled</t>
  </si>
  <si>
    <t>2020 Trial Matches Reserves</t>
  </si>
  <si>
    <t>2020 Trial Matches Seniors</t>
  </si>
  <si>
    <t>name</t>
  </si>
  <si>
    <t>personID</t>
  </si>
  <si>
    <t>First</t>
  </si>
  <si>
    <t>Last</t>
  </si>
  <si>
    <t>FirstLast</t>
  </si>
  <si>
    <t>Competition Name</t>
  </si>
  <si>
    <t>Day</t>
  </si>
  <si>
    <t>Link</t>
  </si>
  <si>
    <t>RefDB</t>
  </si>
  <si>
    <t>AR1DB</t>
  </si>
  <si>
    <t>AR2DB</t>
  </si>
  <si>
    <t>MDB</t>
  </si>
  <si>
    <t>ADB</t>
  </si>
  <si>
    <t>4DB</t>
  </si>
  <si>
    <t>Rdiff</t>
  </si>
  <si>
    <t>Mdiff</t>
  </si>
  <si>
    <t>AR1diff</t>
  </si>
  <si>
    <t>AR2diff</t>
  </si>
  <si>
    <t>Adiff</t>
  </si>
  <si>
    <t>4diff</t>
  </si>
  <si>
    <t>diff</t>
  </si>
  <si>
    <t>statusOk</t>
  </si>
  <si>
    <t>Rstatus</t>
  </si>
  <si>
    <t>AR1status</t>
  </si>
  <si>
    <t>AR2status</t>
  </si>
  <si>
    <t>Mstatus</t>
  </si>
  <si>
    <t>Astatus</t>
  </si>
  <si>
    <t>4status</t>
  </si>
  <si>
    <t>orange</t>
  </si>
  <si>
    <t>AcceptStatus</t>
  </si>
  <si>
    <t>red</t>
  </si>
  <si>
    <t>green</t>
  </si>
  <si>
    <t>AcceptValue</t>
  </si>
  <si>
    <t>Venue</t>
  </si>
  <si>
    <t>Area</t>
  </si>
  <si>
    <t>Cornerstone College</t>
  </si>
  <si>
    <t>St Francis De Sales College</t>
  </si>
  <si>
    <t>Bradwood Park</t>
  </si>
  <si>
    <t>Forfeit</t>
  </si>
  <si>
    <t>Hahndorf Recreation Grounds</t>
  </si>
  <si>
    <t>Match Status</t>
  </si>
  <si>
    <t>Lable</t>
  </si>
  <si>
    <t>Organisation</t>
  </si>
  <si>
    <t>Trial</t>
  </si>
  <si>
    <t>Competition Group</t>
  </si>
  <si>
    <t>Sets colours for accept status</t>
  </si>
  <si>
    <t>Venue Lables</t>
  </si>
  <si>
    <t>Competition Lables</t>
  </si>
  <si>
    <t>Name Ok</t>
  </si>
  <si>
    <t>Rname</t>
  </si>
  <si>
    <t>AR1name</t>
  </si>
  <si>
    <t>AR2name</t>
  </si>
  <si>
    <t>Mname</t>
  </si>
  <si>
    <t>Aname</t>
  </si>
  <si>
    <t>4name</t>
  </si>
  <si>
    <t>Last, First</t>
  </si>
  <si>
    <t>Working Path</t>
  </si>
  <si>
    <t>NPLSA</t>
  </si>
  <si>
    <t>2020-06-22_2020-06-28</t>
  </si>
  <si>
    <t>Week 24 (Jun 22 to Jun 28)</t>
  </si>
  <si>
    <t>National Premier League SA 2020</t>
  </si>
  <si>
    <t>Sat</t>
  </si>
  <si>
    <t>Adelaide Olympic</t>
  </si>
  <si>
    <t>Adelaide United Fc</t>
  </si>
  <si>
    <t>Valo Football Centre</t>
  </si>
  <si>
    <t/>
  </si>
  <si>
    <t>ok</t>
  </si>
  <si>
    <t>NAME, Example</t>
  </si>
  <si>
    <t>A.a Bailey Reserve</t>
  </si>
  <si>
    <t>Inner South</t>
  </si>
  <si>
    <t>Adelaide City Park</t>
  </si>
  <si>
    <t>East</t>
  </si>
  <si>
    <t>Anembo Park P1 - Mbusc</t>
  </si>
  <si>
    <t>Anembo Park P2 - Mbusc</t>
  </si>
  <si>
    <t>Angle Vale Community Sports Facility</t>
  </si>
  <si>
    <t>North</t>
  </si>
  <si>
    <t>Argana Park</t>
  </si>
  <si>
    <t>Ashton Oval - Rsc M1</t>
  </si>
  <si>
    <t>Ashton Oval - Rsc P1</t>
  </si>
  <si>
    <t>Athelstone Recreation Reserve</t>
  </si>
  <si>
    <t>Beatty Tce - Mbusc (murray Bridge)</t>
  </si>
  <si>
    <t>Birdwood Park - Tvsc</t>
  </si>
  <si>
    <t>Blackwood High School</t>
  </si>
  <si>
    <t>Bowker St Oval</t>
  </si>
  <si>
    <t>Bradwood Park P1 - Sdfc</t>
  </si>
  <si>
    <t>Bradwood Park P2 - Sdfc</t>
  </si>
  <si>
    <t>Breakers Park</t>
  </si>
  <si>
    <t>NDRA</t>
  </si>
  <si>
    <t>Burragah Reserve</t>
  </si>
  <si>
    <t>Inner North</t>
  </si>
  <si>
    <t>Byrne Park</t>
  </si>
  <si>
    <t>Cancelled/Forfeit/Tba</t>
  </si>
  <si>
    <t>Capella Oval</t>
  </si>
  <si>
    <t>South</t>
  </si>
  <si>
    <t>Carnegie Reserve</t>
  </si>
  <si>
    <t>West</t>
  </si>
  <si>
    <t>Charles Cane Reserve</t>
  </si>
  <si>
    <t>Collins Reserve</t>
  </si>
  <si>
    <t>Cove Sports &amp; Community Club</t>
  </si>
  <si>
    <t>Croatian Sports Centre</t>
  </si>
  <si>
    <t>Dauntsey Reserve</t>
  </si>
  <si>
    <t>Ellis Park</t>
  </si>
  <si>
    <t>City</t>
  </si>
  <si>
    <t>Eyre Sports Park</t>
  </si>
  <si>
    <t>Ferryden Park</t>
  </si>
  <si>
    <t>Flinders University Playing Fields</t>
  </si>
  <si>
    <t>Frank Mitchell Park</t>
  </si>
  <si>
    <t>Golflands Reserve</t>
  </si>
  <si>
    <t>Harold Tyler Reserve</t>
  </si>
  <si>
    <t>Hawks Nest, Hutchens Rd, Woodside</t>
  </si>
  <si>
    <t>Heathfield High School - Sesc</t>
  </si>
  <si>
    <t>Jack Smith Park</t>
  </si>
  <si>
    <t>John Hart Reserve</t>
  </si>
  <si>
    <t>Jubilee Reserve</t>
  </si>
  <si>
    <t>Kalara Reserve</t>
  </si>
  <si>
    <t>Karbeethan Reserve</t>
  </si>
  <si>
    <t>Karingal Reserve</t>
  </si>
  <si>
    <t>Karinya Reserve</t>
  </si>
  <si>
    <t>Kilburn Football Oval</t>
  </si>
  <si>
    <t>Lindblom Park</t>
  </si>
  <si>
    <t>Lockleys Oval</t>
  </si>
  <si>
    <t>Magill Sports Centre</t>
  </si>
  <si>
    <t>Manson Oval</t>
  </si>
  <si>
    <t>Marden Sports Complex</t>
  </si>
  <si>
    <t>Margaret Bond Oval</t>
  </si>
  <si>
    <t>Marion Sports &amp; Community Club</t>
  </si>
  <si>
    <t>Munno Para Football Club</t>
  </si>
  <si>
    <t>Nairne Primary School - Nksc</t>
  </si>
  <si>
    <t>Newspot Stadium - Richardson Reserve</t>
  </si>
  <si>
    <t>Osullivans Beach Sports And Community Centre</t>
  </si>
  <si>
    <t>Para Hills Oval</t>
  </si>
  <si>
    <t>Park 17</t>
  </si>
  <si>
    <t>Park 19</t>
  </si>
  <si>
    <t>Park 20</t>
  </si>
  <si>
    <t>Park 27b</t>
  </si>
  <si>
    <t>Pennington Oval</t>
  </si>
  <si>
    <t>Pine Ave - Hsc</t>
  </si>
  <si>
    <t>Plympton Park</t>
  </si>
  <si>
    <t>Ramsay Park</t>
  </si>
  <si>
    <t>Sacred Heart College</t>
  </si>
  <si>
    <t>Sawsa Park</t>
  </si>
  <si>
    <t>Seymour Oval</t>
  </si>
  <si>
    <t>Smith Partners Stadium</t>
  </si>
  <si>
    <t>St Clair Oval</t>
  </si>
  <si>
    <t>Steve Jarvis Park - Burton</t>
  </si>
  <si>
    <t>Steve Woodcock Sports Centre</t>
  </si>
  <si>
    <t>Strathalbyn Polo &amp; Recreation Ground P1 - Sssc</t>
  </si>
  <si>
    <t>Strathalbyn Polo &amp; Recreation Ground P2 - Sssc</t>
  </si>
  <si>
    <t>Taperoo Reserve</t>
  </si>
  <si>
    <t>Tba</t>
  </si>
  <si>
    <t>The Paddocks</t>
  </si>
  <si>
    <t>Tilley Reserve</t>
  </si>
  <si>
    <t>Tk Shutter Reserve</t>
  </si>
  <si>
    <t>Underdale High School</t>
  </si>
  <si>
    <t>Underdown Park</t>
  </si>
  <si>
    <t>Unisa  Playing Fields</t>
  </si>
  <si>
    <t>University Ovals</t>
  </si>
  <si>
    <t>Valo Football Centre - The Parks</t>
  </si>
  <si>
    <t>Valo Football Centre - The Parks - Artificial 1</t>
  </si>
  <si>
    <t>Valo Football Centre - The Parks - Artificial 2</t>
  </si>
  <si>
    <t>Victoria Park Racecourse</t>
  </si>
  <si>
    <t>Waite Oval</t>
  </si>
  <si>
    <t>Walkley Park</t>
  </si>
  <si>
    <t>West Beach Parks Football Centre</t>
  </si>
  <si>
    <t>West Beach Playing Fields</t>
  </si>
  <si>
    <t>Wilfred Taylor Reserve</t>
  </si>
  <si>
    <t>Women's Memorial Playing Fields</t>
  </si>
  <si>
    <t>Woodside Recreation Ground P1 - Wwsc</t>
  </si>
  <si>
    <t>Woodside Recreation Ground P3 - Wwsc</t>
  </si>
  <si>
    <t>Woodside Recreation Ground P4 - Wwsc</t>
  </si>
  <si>
    <t>Woodside Recreation Ground, Nairne Rd, Woodside</t>
  </si>
  <si>
    <t>Reload</t>
  </si>
  <si>
    <t>The Schedula tab will be reset to show what is in schedula</t>
  </si>
  <si>
    <t>Just Update</t>
  </si>
  <si>
    <t>Fixture details are updated, manual adjustments to the schedula tab will not change</t>
  </si>
  <si>
    <t>After pressing "Pull Some" or "Pull All" press one of the following:</t>
  </si>
  <si>
    <t>Generate Report</t>
  </si>
  <si>
    <t>file path separator</t>
  </si>
  <si>
    <t>The view on the schedula tab is exported to a csv</t>
  </si>
  <si>
    <t>Postponed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</si>
</sst>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C09]h:mm\ AM/PM;@"/>
    <numFmt numFmtId="167" formatCode="[$-F400]h:mm\ AM/PM"/>
  </numFmts>
  <fonts count="5" x14ac:knownFonts="1">
    <font>
      <sz val="11"/>
      <color theme="1"/>
      <name val="Calibri"/>
      <family val="2"/>
      <scheme val="minor"/>
    </font>
    <font>
      <sz val="11"/>
      <color rgb="FF3F3F76"/>
      <name val="Calibri"/>
      <family val="2"/>
      <scheme val="minor"/>
    </font>
    <font>
      <i/>
      <sz val="11"/>
      <color rgb="FF7F7F7F"/>
      <name val="Calibri"/>
      <family val="2"/>
      <scheme val="minor"/>
    </font>
    <font>
      <u/>
      <sz val="11"/>
      <color theme="10"/>
      <name val="Calibri"/>
      <family val="2"/>
      <scheme val="minor"/>
    </font>
    <font>
      <sz val="8"/>
      <name val="Calibri"/>
      <family val="2"/>
      <scheme val="minor"/>
    </font>
  </fonts>
  <fills count="4">
    <fill>
      <patternFill patternType="none"/>
    </fill>
    <fill>
      <patternFill patternType="gray125"/>
    </fill>
    <fill>
      <patternFill patternType="solid">
        <fgColor rgb="FFFFCC99"/>
      </patternFill>
    </fill>
    <fill>
      <patternFill patternType="solid">
        <fgColor theme="4" tint="0.79998168889431442"/>
        <bgColor theme="4" tint="0.79998168889431442"/>
      </patternFill>
    </fill>
  </fills>
  <borders count="16">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rgb="FF7F7F7F"/>
      </left>
      <right style="medium">
        <color indexed="64"/>
      </right>
      <top style="medium">
        <color indexed="64"/>
      </top>
      <bottom style="medium">
        <color indexed="64"/>
      </bottom>
      <diagonal/>
    </border>
    <border>
      <left style="thin">
        <color rgb="FF7F7F7F"/>
      </left>
      <right style="medium">
        <color indexed="64"/>
      </right>
      <top style="medium">
        <color indexed="64"/>
      </top>
      <bottom style="thin">
        <color rgb="FF7F7F7F"/>
      </bottom>
      <diagonal/>
    </border>
    <border>
      <left style="thin">
        <color rgb="FF7F7F7F"/>
      </left>
      <right style="medium">
        <color indexed="64"/>
      </right>
      <top style="thin">
        <color rgb="FF7F7F7F"/>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s>
  <cellStyleXfs count="4">
    <xf numFmtId="0" fontId="0" fillId="0" borderId="0"/>
    <xf numFmtId="0" fontId="1" fillId="2" borderId="5" applyNumberFormat="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41">
    <xf numFmtId="0" fontId="0" fillId="0" borderId="0" xfId="0"/>
    <xf numFmtId="0" fontId="0" fillId="0" borderId="2" xfId="0" applyBorder="1" applyAlignment="1">
      <alignment horizontal="center"/>
    </xf>
    <xf numFmtId="0" fontId="0" fillId="0" borderId="3" xfId="0" applyBorder="1" applyAlignment="1">
      <alignment horizontal="center"/>
    </xf>
    <xf numFmtId="0" fontId="0" fillId="0" borderId="1" xfId="0" applyBorder="1" applyAlignment="1">
      <alignment horizontal="center"/>
    </xf>
    <xf numFmtId="0" fontId="0" fillId="0" borderId="3" xfId="0" applyFill="1" applyBorder="1" applyAlignment="1">
      <alignment horizontal="center"/>
    </xf>
    <xf numFmtId="0" fontId="2" fillId="0" borderId="0" xfId="2"/>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1" fillId="2" borderId="9" xfId="1" applyBorder="1"/>
    <xf numFmtId="49" fontId="1" fillId="2" borderId="10" xfId="1" applyNumberFormat="1" applyBorder="1" applyAlignment="1">
      <alignment horizontal="center"/>
    </xf>
    <xf numFmtId="0" fontId="1" fillId="2" borderId="11" xfId="1" applyBorder="1"/>
    <xf numFmtId="49" fontId="1" fillId="2" borderId="11" xfId="1" applyNumberFormat="1" applyBorder="1" applyAlignment="1">
      <alignment horizontal="center"/>
    </xf>
    <xf numFmtId="49" fontId="1" fillId="2" borderId="9" xfId="1" applyNumberFormat="1" applyBorder="1" applyAlignment="1">
      <alignment horizontal="center"/>
    </xf>
    <xf numFmtId="0" fontId="1" fillId="2" borderId="10" xfId="1" applyBorder="1" applyAlignment="1">
      <alignment horizontal="center"/>
    </xf>
    <xf numFmtId="14" fontId="1" fillId="2" borderId="11" xfId="1" applyNumberFormat="1" applyBorder="1" applyAlignment="1">
      <alignment horizontal="center"/>
    </xf>
    <xf numFmtId="0" fontId="1" fillId="2" borderId="9" xfId="1" applyBorder="1" applyAlignment="1">
      <alignment horizontal="center"/>
    </xf>
    <xf numFmtId="0" fontId="0" fillId="0" borderId="0" xfId="0" applyNumberFormat="1"/>
    <xf numFmtId="14" fontId="0" fillId="0" borderId="0" xfId="0" applyNumberFormat="1"/>
    <xf numFmtId="164" fontId="0" fillId="0" borderId="0" xfId="0" applyNumberFormat="1"/>
    <xf numFmtId="0" fontId="0" fillId="3" borderId="12" xfId="0" applyFont="1" applyFill="1" applyBorder="1"/>
    <xf numFmtId="0" fontId="0" fillId="0" borderId="12" xfId="0" applyFont="1" applyBorder="1"/>
    <xf numFmtId="165" fontId="0" fillId="0" borderId="0" xfId="0" applyNumberFormat="1"/>
    <xf numFmtId="0" fontId="0" fillId="3" borderId="12" xfId="0" applyFill="1" applyBorder="1"/>
    <xf numFmtId="0" fontId="0" fillId="0" borderId="12" xfId="0" applyBorder="1"/>
    <xf numFmtId="0" fontId="0" fillId="0" borderId="0" xfId="0" quotePrefix="1"/>
    <xf numFmtId="49" fontId="0" fillId="0" borderId="0" xfId="0" applyNumberFormat="1"/>
    <xf numFmtId="0" fontId="0" fillId="0" borderId="0" xfId="0" applyNumberFormat="1" applyAlignment="1">
      <alignment horizontal="right"/>
    </xf>
    <xf numFmtId="0" fontId="3" fillId="0" borderId="0" xfId="3" applyNumberFormat="1"/>
    <xf numFmtId="0" fontId="0" fillId="0" borderId="0" xfId="0" applyFill="1" applyBorder="1" applyAlignment="1">
      <alignment horizontal="center"/>
    </xf>
    <xf numFmtId="0" fontId="0" fillId="3" borderId="13" xfId="0" applyFill="1" applyBorder="1" applyAlignment="1">
      <alignment horizontal="center"/>
    </xf>
    <xf numFmtId="0" fontId="0" fillId="0" borderId="13" xfId="0" applyBorder="1" applyAlignment="1">
      <alignment horizontal="center"/>
    </xf>
    <xf numFmtId="0" fontId="0" fillId="3" borderId="14" xfId="0" applyFill="1" applyBorder="1"/>
    <xf numFmtId="0" fontId="0" fillId="0" borderId="0" xfId="0" applyAlignment="1">
      <alignment horizontal="center"/>
    </xf>
    <xf numFmtId="0" fontId="0" fillId="0" borderId="0" xfId="0" applyFill="1" applyBorder="1" applyAlignment="1">
      <alignment horizontal="left"/>
    </xf>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167" fontId="0" fillId="0" borderId="0" xfId="0" applyNumberFormat="1"/>
    <xf numFmtId="0" fontId="0" fillId="0" borderId="0" xfId="0" applyBorder="1"/>
    <xf numFmtId="0" fontId="0" fillId="0" borderId="15" xfId="0" applyBorder="1" applyAlignment="1">
      <alignment horizontal="center"/>
    </xf>
  </cellXfs>
  <cellStyles count="4">
    <cellStyle name="Explanatory Text" xfId="2" builtinId="53"/>
    <cellStyle name="Hyperlink" xfId="3" builtinId="8"/>
    <cellStyle name="Input" xfId="1" builtinId="20"/>
    <cellStyle name="Normal" xfId="0" builtinId="0"/>
  </cellStyles>
  <dxfs count="79">
    <dxf>
      <fill>
        <patternFill>
          <bgColor rgb="FF00B050"/>
        </patternFill>
      </fill>
    </dxf>
    <dxf>
      <fill>
        <patternFill>
          <bgColor rgb="FFFFC000"/>
        </patternFill>
      </fill>
    </dxf>
    <dxf>
      <fill>
        <patternFill>
          <bgColor rgb="FFFF0000"/>
        </patternFill>
      </fill>
    </dxf>
    <dxf>
      <fill>
        <patternFill>
          <bgColor rgb="FF00B0F0"/>
        </patternFill>
      </fill>
    </dxf>
    <dxf>
      <fill>
        <patternFill>
          <bgColor theme="0" tint="-0.3499862666707357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19" formatCode="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border diagonalUp="0" diagonalDown="0">
        <left style="thin">
          <color theme="4" tint="0.39997558519241921"/>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C09]h:mm\ AM/PM;@"/>
    </dxf>
    <dxf>
      <numFmt numFmtId="0" formatCode="General"/>
    </dxf>
    <dxf>
      <numFmt numFmtId="0" formatCode="General"/>
      <alignment horizontal="right" vertical="bottom" textRotation="0" wrapText="0" indent="0" justifyLastLine="0" shrinkToFit="0" readingOrder="0"/>
    </dxf>
    <dxf>
      <numFmt numFmtId="19" formatCode="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4.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7.emf"/><Relationship Id="rId5" Type="http://schemas.openxmlformats.org/officeDocument/2006/relationships/image" Target="../media/image2.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3</xdr:col>
          <xdr:colOff>0</xdr:colOff>
          <xdr:row>4</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3</xdr:col>
          <xdr:colOff>9525</xdr:colOff>
          <xdr:row>7</xdr:row>
          <xdr:rowOff>0</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0</xdr:rowOff>
        </xdr:from>
        <xdr:to>
          <xdr:col>3</xdr:col>
          <xdr:colOff>9525</xdr:colOff>
          <xdr:row>16</xdr:row>
          <xdr:rowOff>0</xdr:rowOff>
        </xdr:to>
        <xdr:sp macro="" textlink="">
          <xdr:nvSpPr>
            <xdr:cNvPr id="1027" name="CommandButton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3</xdr:col>
          <xdr:colOff>9525</xdr:colOff>
          <xdr:row>13</xdr:row>
          <xdr:rowOff>0</xdr:rowOff>
        </xdr:to>
        <xdr:sp macro="" textlink="">
          <xdr:nvSpPr>
            <xdr:cNvPr id="1029" name="CommandButton4"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95250</xdr:rowOff>
        </xdr:from>
        <xdr:to>
          <xdr:col>5</xdr:col>
          <xdr:colOff>9525</xdr:colOff>
          <xdr:row>5</xdr:row>
          <xdr:rowOff>114300</xdr:rowOff>
        </xdr:to>
        <xdr:sp macro="" textlink="">
          <xdr:nvSpPr>
            <xdr:cNvPr id="1030" name="CommandButton5"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114300</xdr:rowOff>
        </xdr:from>
        <xdr:to>
          <xdr:col>5</xdr:col>
          <xdr:colOff>9525</xdr:colOff>
          <xdr:row>7</xdr:row>
          <xdr:rowOff>133350</xdr:rowOff>
        </xdr:to>
        <xdr:sp macro="" textlink="">
          <xdr:nvSpPr>
            <xdr:cNvPr id="1031" name="CommandButton6"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16</xdr:row>
          <xdr:rowOff>180975</xdr:rowOff>
        </xdr:from>
        <xdr:to>
          <xdr:col>5</xdr:col>
          <xdr:colOff>0</xdr:colOff>
          <xdr:row>20</xdr:row>
          <xdr:rowOff>19050</xdr:rowOff>
        </xdr:to>
        <xdr:sp macro="" textlink="">
          <xdr:nvSpPr>
            <xdr:cNvPr id="1032" name="CommandButton7" hidden="1">
              <a:extLst>
                <a:ext uri="{63B3BB69-23CF-44E3-9099-C40C66FF867C}">
                  <a14:compatExt spid="_x0000_s1032"/>
                </a:ext>
                <a:ext uri="{FF2B5EF4-FFF2-40B4-BE49-F238E27FC236}">
                  <a16:creationId xmlns:a16="http://schemas.microsoft.com/office/drawing/2014/main" id="{2292306C-A937-461C-9D3F-23E826F50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4</xdr:col>
      <xdr:colOff>1057274</xdr:colOff>
      <xdr:row>0</xdr:row>
      <xdr:rowOff>0</xdr:rowOff>
    </xdr:from>
    <xdr:to>
      <xdr:col>7</xdr:col>
      <xdr:colOff>819150</xdr:colOff>
      <xdr:row>1</xdr:row>
      <xdr:rowOff>0</xdr:rowOff>
    </xdr:to>
    <mc:AlternateContent xmlns:mc="http://schemas.openxmlformats.org/markup-compatibility/2006" xmlns:sle15="http://schemas.microsoft.com/office/drawing/2012/slicer">
      <mc:Choice Requires="sle15">
        <xdr:graphicFrame macro="">
          <xdr:nvGraphicFramePr>
            <xdr:cNvPr id="2" name="Competition Name">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Competition Name"/>
            </a:graphicData>
          </a:graphic>
        </xdr:graphicFrame>
      </mc:Choice>
      <mc:Fallback xmlns="">
        <xdr:sp macro="" textlink="">
          <xdr:nvSpPr>
            <xdr:cNvPr id="0" name=""/>
            <xdr:cNvSpPr>
              <a:spLocks noTextEdit="1"/>
            </xdr:cNvSpPr>
          </xdr:nvSpPr>
          <xdr:spPr>
            <a:xfrm>
              <a:off x="5448299" y="0"/>
              <a:ext cx="3248026" cy="222885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0</xdr:rowOff>
    </xdr:from>
    <xdr:to>
      <xdr:col>2</xdr:col>
      <xdr:colOff>628650</xdr:colOff>
      <xdr:row>0</xdr:row>
      <xdr:rowOff>2228849</xdr:rowOff>
    </xdr:to>
    <mc:AlternateContent xmlns:mc="http://schemas.openxmlformats.org/markup-compatibility/2006" xmlns:sle15="http://schemas.microsoft.com/office/drawing/2012/slicer">
      <mc:Choice Requires="sle15">
        <xdr:graphicFrame macro="">
          <xdr:nvGraphicFramePr>
            <xdr:cNvPr id="3" name="Are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0" y="0"/>
              <a:ext cx="1828800" cy="2228849"/>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609600</xdr:colOff>
      <xdr:row>0</xdr:row>
      <xdr:rowOff>0</xdr:rowOff>
    </xdr:from>
    <xdr:to>
      <xdr:col>3</xdr:col>
      <xdr:colOff>1724025</xdr:colOff>
      <xdr:row>1</xdr:row>
      <xdr:rowOff>9525</xdr:rowOff>
    </xdr:to>
    <mc:AlternateContent xmlns:mc="http://schemas.openxmlformats.org/markup-compatibility/2006" xmlns:sle15="http://schemas.microsoft.com/office/drawing/2012/slicer">
      <mc:Choice Requires="sle15">
        <xdr:graphicFrame macro="">
          <xdr:nvGraphicFramePr>
            <xdr:cNvPr id="4" name="Match Status">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Match Status"/>
            </a:graphicData>
          </a:graphic>
        </xdr:graphicFrame>
      </mc:Choice>
      <mc:Fallback xmlns="">
        <xdr:sp macro="" textlink="">
          <xdr:nvSpPr>
            <xdr:cNvPr id="0" name=""/>
            <xdr:cNvSpPr>
              <a:spLocks noTextEdit="1"/>
            </xdr:cNvSpPr>
          </xdr:nvSpPr>
          <xdr:spPr>
            <a:xfrm>
              <a:off x="1809750" y="0"/>
              <a:ext cx="1828800" cy="2238375"/>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1714500</xdr:colOff>
      <xdr:row>0</xdr:row>
      <xdr:rowOff>0</xdr:rowOff>
    </xdr:from>
    <xdr:to>
      <xdr:col>4</xdr:col>
      <xdr:colOff>1066800</xdr:colOff>
      <xdr:row>1</xdr:row>
      <xdr:rowOff>19050</xdr:rowOff>
    </xdr:to>
    <mc:AlternateContent xmlns:mc="http://schemas.openxmlformats.org/markup-compatibility/2006" xmlns:sle15="http://schemas.microsoft.com/office/drawing/2012/slicer">
      <mc:Choice Requires="sle15">
        <xdr:graphicFrame macro="">
          <xdr:nvGraphicFramePr>
            <xdr:cNvPr id="5" name="Organisation">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Organisation"/>
            </a:graphicData>
          </a:graphic>
        </xdr:graphicFrame>
      </mc:Choice>
      <mc:Fallback xmlns="">
        <xdr:sp macro="" textlink="">
          <xdr:nvSpPr>
            <xdr:cNvPr id="0" name=""/>
            <xdr:cNvSpPr>
              <a:spLocks noTextEdit="1"/>
            </xdr:cNvSpPr>
          </xdr:nvSpPr>
          <xdr:spPr>
            <a:xfrm>
              <a:off x="3629025" y="0"/>
              <a:ext cx="1828800" cy="224790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800100</xdr:colOff>
      <xdr:row>0</xdr:row>
      <xdr:rowOff>0</xdr:rowOff>
    </xdr:from>
    <xdr:to>
      <xdr:col>8</xdr:col>
      <xdr:colOff>1457325</xdr:colOff>
      <xdr:row>1</xdr:row>
      <xdr:rowOff>19049</xdr:rowOff>
    </xdr:to>
    <mc:AlternateContent xmlns:mc="http://schemas.openxmlformats.org/markup-compatibility/2006" xmlns:sle15="http://schemas.microsoft.com/office/drawing/2012/slicer">
      <mc:Choice Requires="sle15">
        <xdr:graphicFrame macro="">
          <xdr:nvGraphicFramePr>
            <xdr:cNvPr id="6" name="Competition Group">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Competition Group"/>
            </a:graphicData>
          </a:graphic>
        </xdr:graphicFrame>
      </mc:Choice>
      <mc:Fallback xmlns="">
        <xdr:sp macro="" textlink="">
          <xdr:nvSpPr>
            <xdr:cNvPr id="0" name=""/>
            <xdr:cNvSpPr>
              <a:spLocks noTextEdit="1"/>
            </xdr:cNvSpPr>
          </xdr:nvSpPr>
          <xdr:spPr>
            <a:xfrm>
              <a:off x="8677275" y="0"/>
              <a:ext cx="1828800" cy="2247899"/>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2BA377AC-8504-48CE-A318-B57AB4943A4A}" autoFormatId="16" applyNumberFormats="0" applyBorderFormats="0" applyFontFormats="0" applyPatternFormats="0" applyAlignmentFormats="0" applyWidthHeightFormats="0">
  <queryTableRefresh nextId="29">
    <queryTableFields count="28">
      <queryTableField id="1" name="FixtureID" tableColumnId="1"/>
      <queryTableField id="2" name="OrgID" tableColumnId="2"/>
      <queryTableField id="3" name="OrgName" tableColumnId="3"/>
      <queryTableField id="4" name="SeasonID" tableColumnId="4"/>
      <queryTableField id="5" name="SeasonName" tableColumnId="5"/>
      <queryTableField id="6" name="WeekID" tableColumnId="6"/>
      <queryTableField id="7" name="WeekName" tableColumnId="7"/>
      <queryTableField id="8" name="Competition" tableColumnId="8"/>
      <queryTableField id="9" name="Date" tableColumnId="9"/>
      <queryTableField id="10" name="day" tableColumnId="10"/>
      <queryTableField id="11" name="Time" tableColumnId="11"/>
      <queryTableField id="12" name="Home" tableColumnId="12"/>
      <queryTableField id="13" name="Away" tableColumnId="13"/>
      <queryTableField id="14" name="Ground" tableColumnId="14"/>
      <queryTableField id="15" name="Referee" tableColumnId="15"/>
      <queryTableField id="16" name="AR1" tableColumnId="16"/>
      <queryTableField id="17" name="AR2" tableColumnId="17"/>
      <queryTableField id="18" name="Mentor" tableColumnId="18"/>
      <queryTableField id="19" name="Assessor" tableColumnId="19"/>
      <queryTableField id="20" name="4th Official" tableColumnId="20"/>
      <queryTableField id="21" name="Other" tableColumnId="21"/>
      <queryTableField id="22" name="Status" tableColumnId="22"/>
      <queryTableField id="23" name="Rstatus" tableColumnId="23"/>
      <queryTableField id="24" name="AR1status" tableColumnId="24"/>
      <queryTableField id="25" name="AR2status" tableColumnId="25"/>
      <queryTableField id="26" name="Mstatus" tableColumnId="26"/>
      <queryTableField id="27" name="Astatus" tableColumnId="27"/>
      <queryTableField id="28" name="4status" tableColumnId="2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2EFCD463-F5A8-49C9-84F5-DF5AB37C4768}" autoFormatId="16" applyNumberFormats="0" applyBorderFormats="0" applyFontFormats="0" applyPatternFormats="0" applyAlignmentFormats="0" applyWidthHeightFormats="0">
  <queryTableRefresh nextId="7" unboundColumnsRight="4">
    <queryTableFields count="6">
      <queryTableField id="1" name="name" tableColumnId="1"/>
      <queryTableField id="2" name="personID" tableColumnId="2"/>
      <queryTableField id="3" dataBound="0" tableColumnId="3"/>
      <queryTableField id="4" dataBound="0" tableColumnId="4"/>
      <queryTableField id="5" dataBound="0" tableColumnId="5"/>
      <queryTableField id="6" dataBound="0"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_Name" xr10:uid="{00CE9B38-57D5-4574-84D8-AB2732C91399}" sourceName="Competition Name">
  <extLst>
    <x:ext xmlns:x15="http://schemas.microsoft.com/office/spreadsheetml/2010/11/main" uri="{2F2917AC-EB37-4324-AD4E-5DD8C200BD13}">
      <x15:tableSlicerCache tableId="4"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7E12351E-F631-4BEF-9F4F-322A674F7472}" sourceName="Area">
  <extLst>
    <x:ext xmlns:x15="http://schemas.microsoft.com/office/spreadsheetml/2010/11/main" uri="{2F2917AC-EB37-4324-AD4E-5DD8C200BD13}">
      <x15:tableSlicerCache tableId="4" column="3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tch_Status" xr10:uid="{444B4CE0-4651-4F15-94EB-58FE2696C21E}" sourceName="Match Status">
  <extLst>
    <x:ext xmlns:x15="http://schemas.microsoft.com/office/spreadsheetml/2010/11/main" uri="{2F2917AC-EB37-4324-AD4E-5DD8C200BD13}">
      <x15:tableSlicerCache tableId="4" column="3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ganisation" xr10:uid="{9794C99B-FBE1-4377-BA44-7FFFEED60A1D}" sourceName="Organisation">
  <extLst>
    <x:ext xmlns:x15="http://schemas.microsoft.com/office/spreadsheetml/2010/11/main" uri="{2F2917AC-EB37-4324-AD4E-5DD8C200BD13}">
      <x15:tableSlicerCache tableId="4" column="39"/>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_Group" xr10:uid="{AC0273D6-D6B7-43F7-8092-E867611B105E}" sourceName="Competition Group">
  <extLst>
    <x:ext xmlns:x15="http://schemas.microsoft.com/office/spreadsheetml/2010/11/main" uri="{2F2917AC-EB37-4324-AD4E-5DD8C200BD13}">
      <x15:tableSlicerCache tableId="4" column="40"/>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etition Name" xr10:uid="{46544B2D-D5FF-4F57-9C78-103535DCD3D2}" cache="Slicer_Competition_Name" caption="Competition Name" rowHeight="241300"/>
  <slicer name="Area" xr10:uid="{FE688BB5-F5B3-4750-83D1-D96A9F62D248}" cache="Slicer_Area" caption="Area" rowHeight="241300"/>
  <slicer name="Match Status" xr10:uid="{45050DA2-C3A8-44C9-A69E-57C2C6D7887B}" cache="Slicer_Match_Status" caption="Match Status" rowHeight="241300"/>
  <slicer name="Organisation" xr10:uid="{847FFA80-3633-4EBE-8A6D-12A4796EC3E6}" cache="Slicer_Organisation" caption="Organisation" rowHeight="241300"/>
  <slicer name="Competition Group" xr10:uid="{D43AE54E-236B-4B37-988F-CA90029E5891}" cache="Slicer_Competition_Group" caption="Competition Group"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6DB37C6-08E6-49DB-A68F-4C4973A2DD7A}" name="schedula" displayName="schedula" ref="A2:AU3" totalsRowShown="0">
  <autoFilter ref="A2:AU3" xr:uid="{F062FBDD-BB35-424E-9915-22F5FC49A83E}"/>
  <sortState xmlns:xlrd2="http://schemas.microsoft.com/office/spreadsheetml/2017/richdata2" ref="A3:AU3">
    <sortCondition ref="C3"/>
    <sortCondition ref="E3"/>
    <sortCondition ref="F3"/>
    <sortCondition ref="D3"/>
    <sortCondition ref="G3"/>
    <sortCondition ref="H3"/>
    <sortCondition ref="A3"/>
  </sortState>
  <tableColumns count="47">
    <tableColumn id="1" xr3:uid="{B31434EF-7A28-4111-B026-C79238E4313C}" name="FixtureID"/>
    <tableColumn id="2" xr3:uid="{0AA17A40-8A62-409D-B3BA-AF5373B79B23}" name="Day" dataDxfId="78">
      <calculatedColumnFormula>_xlfn.XLOOKUP(schedula[[#This Row],[FixtureID]],store[FixtureID],store[day])</calculatedColumnFormula>
    </tableColumn>
    <tableColumn id="3" xr3:uid="{9C636FFE-8827-45E4-92D2-34A4000776B6}" name="Date" dataDxfId="77">
      <calculatedColumnFormula>_xlfn.XLOOKUP(schedula[[#This Row],[FixtureID]],store[FixtureID],store[Date])</calculatedColumnFormula>
    </tableColumn>
    <tableColumn id="4" xr3:uid="{42631BA4-D2E6-436A-8C59-DCA46490DC2B}" name="Competition Name" dataDxfId="76">
      <calculatedColumnFormula>_xlfn.XLOOKUP(schedula[[#This Row],[FixtureID]],store[FixtureID],store[Competition])</calculatedColumnFormula>
    </tableColumn>
    <tableColumn id="5" xr3:uid="{9687C05B-B014-4036-942C-316B7070E54D}" name="Ground" dataDxfId="75">
      <calculatedColumnFormula>_xlfn.XLOOKUP(schedula[[#This Row],[FixtureID]],store[FixtureID],store[Ground])</calculatedColumnFormula>
    </tableColumn>
    <tableColumn id="6" xr3:uid="{C441E7AC-3FCA-4EE6-8053-59E86E102793}" name="Time" dataDxfId="74">
      <calculatedColumnFormula>_xlfn.XLOOKUP(schedula[[#This Row],[FixtureID]],store[FixtureID],store[Time])</calculatedColumnFormula>
    </tableColumn>
    <tableColumn id="7" xr3:uid="{7E6AF3E2-932E-4953-AFD0-98BDBB6BB675}" name="Home" dataDxfId="73">
      <calculatedColumnFormula>_xlfn.XLOOKUP(schedula[[#This Row],[FixtureID]],store[FixtureID],store[Home])</calculatedColumnFormula>
    </tableColumn>
    <tableColumn id="8" xr3:uid="{637E8A2F-92E4-4A69-81F2-7830879A418A}" name="Away" dataDxfId="72">
      <calculatedColumnFormula>_xlfn.XLOOKUP(schedula[[#This Row],[FixtureID]],store[FixtureID],store[Away])</calculatedColumnFormula>
    </tableColumn>
    <tableColumn id="9" xr3:uid="{25A1E7AD-945E-4A43-B494-55945B94B63C}" name="Referee" dataDxfId="71">
      <calculatedColumnFormula>schedula[[#This Row],[RefDB]]</calculatedColumnFormula>
    </tableColumn>
    <tableColumn id="10" xr3:uid="{B74D5656-4D07-48E7-A131-034E4BC1FAA3}" name="AR1" dataDxfId="70"/>
    <tableColumn id="11" xr3:uid="{47EA16F3-A7C4-4568-A2EE-0D58B7001ECF}" name="AR2" dataDxfId="69">
      <calculatedColumnFormula>schedula[[#This Row],[AR2DB]]</calculatedColumnFormula>
    </tableColumn>
    <tableColumn id="12" xr3:uid="{2BFFAB8C-E621-4564-BA38-3B7D2B2B5A7D}" name="Mentor" dataDxfId="68">
      <calculatedColumnFormula>schedula[[#This Row],[MDB]]</calculatedColumnFormula>
    </tableColumn>
    <tableColumn id="13" xr3:uid="{8389A916-06E0-42C2-972D-AA731A85F1B7}" name="Assessor" dataDxfId="67">
      <calculatedColumnFormula>schedula[[#This Row],[ADB]]</calculatedColumnFormula>
    </tableColumn>
    <tableColumn id="14" xr3:uid="{20690A3D-EBB8-450E-8AE3-158E148E50EF}" name="4th Official" dataDxfId="66">
      <calculatedColumnFormula>schedula[[#This Row],[4DB]]</calculatedColumnFormula>
    </tableColumn>
    <tableColumn id="37" xr3:uid="{A4CB7537-44F9-4B53-97DA-75A217719A9F}" name="Area" dataDxfId="65">
      <calculatedColumnFormula>_xlfn.XLOOKUP(schedula[[#This Row],[Ground]],venueLable[Venue],venueLable[Area],"Not Assigned")</calculatedColumnFormula>
    </tableColumn>
    <tableColumn id="38" xr3:uid="{09CC2808-3F29-46BD-8E0F-926793BD34EB}" name="Match Status" dataDxfId="64">
      <calculatedColumnFormula>IF(schedula[[#This Row],[Date]]&lt;TODAY(),"Complete",IF(schedula[[#This Row],[Date]]&gt;(TODAY()+14),IF(schedula[[#This Row],[Date]]&gt;(TODAY()+28),"28+ Days","14 - 28 Days"),IF(schedula[[#This Row],[Date]]&lt;TODAY()+7,"00 - 07 Days","07 - 14 Days")))</calculatedColumnFormula>
    </tableColumn>
    <tableColumn id="39" xr3:uid="{E7E42D77-6A4E-4CFC-8E2F-10FC4A67CBB8}" name="Organisation" dataDxfId="63">
      <calculatedColumnFormula>_xlfn.XLOOKUP(schedula[[#This Row],[FixtureID]],store[FixtureID],store[OrgName])</calculatedColumnFormula>
    </tableColumn>
    <tableColumn id="40" xr3:uid="{C49BD155-7BAB-42AE-89DC-0056BFA5FCEB}" name="Competition Group" dataDxfId="62">
      <calculatedColumnFormula>_xlfn.XLOOKUP(schedula[[#This Row],[Competition Name]],CompetitionLable[Competition],CompetitionLable[Lable],"Not Assigned")</calculatedColumnFormula>
    </tableColumn>
    <tableColumn id="15" xr3:uid="{C42C7FC5-F91F-4439-8E64-EEF44374369E}" name="Link" dataDxfId="61">
      <calculatedColumnFormula>HYPERLINK("https://schedula.sportstg.com/index.php?action=admin/appointments/appoint_match&amp;fixtureid=" &amp; schedula[[#This Row],[FixtureID]],"link")</calculatedColumnFormula>
    </tableColumn>
    <tableColumn id="16" xr3:uid="{A4ECF1C4-E252-44B4-95A9-040DA0F03F2C}" name="Status" dataDxfId="60">
      <calculatedColumnFormula xml:space="preserve"> IF(schedula[[#This Row],[Name Ok]],"","Bad Name. ") &amp; _xlfn.XLOOKUP(schedula[[#This Row],[FixtureID]],store[FixtureID],store[Status])</calculatedColumnFormula>
    </tableColumn>
    <tableColumn id="17" xr3:uid="{622AD9F4-4AF7-49DC-B07A-C4E1752A9CE9}" name="RefDB" dataDxfId="59">
      <calculatedColumnFormula>_xlfn.XLOOKUP(_xlfn.XLOOKUP(schedula[[#This Row],[FixtureID]],store[FixtureID],store[Referee]),people[Last, First],people[FirstLast],"")</calculatedColumnFormula>
    </tableColumn>
    <tableColumn id="18" xr3:uid="{6DCB7BF8-D0AE-43F9-8E5C-8B6A1DEA42C5}" name="AR1DB" dataDxfId="58">
      <calculatedColumnFormula>_xlfn.XLOOKUP(_xlfn.XLOOKUP(schedula[[#This Row],[FixtureID]],store[FixtureID],store[AR1]),people[Last, First],people[FirstLast],"")</calculatedColumnFormula>
    </tableColumn>
    <tableColumn id="19" xr3:uid="{F99EAD18-120D-4EB1-B895-F0C63138223A}" name="AR2DB" dataDxfId="57">
      <calculatedColumnFormula>_xlfn.XLOOKUP(_xlfn.XLOOKUP(schedula[[#This Row],[FixtureID]],store[FixtureID],store[AR2]),people[Last, First],people[FirstLast],"")</calculatedColumnFormula>
    </tableColumn>
    <tableColumn id="20" xr3:uid="{CE43CE4F-128E-4074-AA49-D6B30658B870}" name="MDB" dataDxfId="56">
      <calculatedColumnFormula>_xlfn.XLOOKUP(_xlfn.XLOOKUP(schedula[[#This Row],[FixtureID]],store[FixtureID],store[Mentor]),people[Last, First],people[FirstLast],"")</calculatedColumnFormula>
    </tableColumn>
    <tableColumn id="21" xr3:uid="{DB50A3E3-0995-4026-BD78-8F1CD6C9C13D}" name="ADB" dataDxfId="55">
      <calculatedColumnFormula>_xlfn.XLOOKUP(_xlfn.XLOOKUP(schedula[[#This Row],[FixtureID]],store[FixtureID],store[Assessor]),people[Last, First],people[FirstLast],"")</calculatedColumnFormula>
    </tableColumn>
    <tableColumn id="22" xr3:uid="{B7652C7D-480C-4135-8EDE-F75D99BF1E18}" name="4DB" dataDxfId="54">
      <calculatedColumnFormula>_xlfn.XLOOKUP(_xlfn.XLOOKUP(schedula[[#This Row],[FixtureID]],store[FixtureID],store[4th Official]),people[Last, First],people[FirstLast],"")</calculatedColumnFormula>
    </tableColumn>
    <tableColumn id="31" xr3:uid="{6AE115F0-BB35-4067-8269-3D19E6342AFF}" name="Rstatus" dataDxfId="53">
      <calculatedColumnFormula>_xlfn.XLOOKUP(_xlfn.XLOOKUP(schedula[[#This Row],[FixtureID]],store[FixtureID],store[Rstatus]),acceptDecode[AcceptStatus],acceptDecode[AcceptValue],"")</calculatedColumnFormula>
    </tableColumn>
    <tableColumn id="32" xr3:uid="{A01E6AE8-A18E-4D1F-9316-0F5C450B7131}" name="AR1status" dataDxfId="52">
      <calculatedColumnFormula>_xlfn.XLOOKUP(_xlfn.XLOOKUP(schedula[[#This Row],[FixtureID]],store[FixtureID],store[AR1status]),acceptDecode[AcceptStatus],acceptDecode[AcceptValue],"")</calculatedColumnFormula>
    </tableColumn>
    <tableColumn id="33" xr3:uid="{2A4CD0BC-3588-4922-9171-C57DA391DA29}" name="AR2status" dataDxfId="51">
      <calculatedColumnFormula>_xlfn.XLOOKUP(_xlfn.XLOOKUP(schedula[[#This Row],[FixtureID]],store[FixtureID],store[AR2status]),acceptDecode[AcceptStatus],acceptDecode[AcceptValue],"")</calculatedColumnFormula>
    </tableColumn>
    <tableColumn id="34" xr3:uid="{08511A18-1B3C-4EF9-967D-FDDAFF627092}" name="Mstatus" dataDxfId="50">
      <calculatedColumnFormula>_xlfn.XLOOKUP(_xlfn.XLOOKUP(schedula[[#This Row],[FixtureID]],store[FixtureID],store[Mstatus]),acceptDecode[AcceptStatus],acceptDecode[AcceptValue],"")</calculatedColumnFormula>
    </tableColumn>
    <tableColumn id="35" xr3:uid="{130CA6F6-F4E8-481E-81DB-79D251F9120D}" name="Astatus" dataDxfId="49">
      <calculatedColumnFormula>_xlfn.XLOOKUP(_xlfn.XLOOKUP(schedula[[#This Row],[FixtureID]],store[FixtureID],store[Astatus]),acceptDecode[AcceptStatus],acceptDecode[AcceptValue],"")</calculatedColumnFormula>
    </tableColumn>
    <tableColumn id="36" xr3:uid="{17847141-E1DD-4A13-BBF1-AEF10C13E2C3}" name="4status" dataDxfId="48">
      <calculatedColumnFormula>_xlfn.XLOOKUP(_xlfn.XLOOKUP(schedula[[#This Row],[FixtureID]],store[FixtureID],store[4status]),acceptDecode[AcceptStatus],acceptDecode[AcceptValue],"")</calculatedColumnFormula>
    </tableColumn>
    <tableColumn id="27" xr3:uid="{C417C2BE-A6BC-4B25-BEF6-66C9BEBBF7C3}" name="Rdiff" dataDxfId="47">
      <calculatedColumnFormula>schedula[[#This Row],[RefDB]]&lt;&gt;schedula[[#This Row],[Referee]]</calculatedColumnFormula>
    </tableColumn>
    <tableColumn id="28" xr3:uid="{7E5B2C5B-7542-4E4F-A38F-B4F8E8E409E4}" name="AR1diff" dataDxfId="46">
      <calculatedColumnFormula>schedula[[#This Row],[AR1DB]]&lt;&gt;schedula[[#This Row],[AR1]]</calculatedColumnFormula>
    </tableColumn>
    <tableColumn id="25" xr3:uid="{4B0D2E8B-B7A6-4A5A-9D3B-C06E3E6A56A0}" name="AR2diff" dataDxfId="45">
      <calculatedColumnFormula>schedula[[#This Row],[AR2DB]]&lt;&gt;schedula[[#This Row],[AR2]]</calculatedColumnFormula>
    </tableColumn>
    <tableColumn id="26" xr3:uid="{4160C6C7-1862-42DC-9EF0-3B43D5C13BD3}" name="Mdiff" dataDxfId="44">
      <calculatedColumnFormula>schedula[[#This Row],[MDB]]&lt;&gt;schedula[[#This Row],[Mentor]]</calculatedColumnFormula>
    </tableColumn>
    <tableColumn id="24" xr3:uid="{057B607F-A9BA-463F-AF01-AF0D48CE37C1}" name="Adiff" dataDxfId="43">
      <calculatedColumnFormula>schedula[[#This Row],[ADB]]&lt;&gt;schedula[[#This Row],[Assessor]]</calculatedColumnFormula>
    </tableColumn>
    <tableColumn id="23" xr3:uid="{8EF948EB-5A21-41CD-B664-81925D6AC648}" name="4diff" dataDxfId="42">
      <calculatedColumnFormula>schedula[[#This Row],[4DB]]&lt;&gt;schedula[[#This Row],[4th Official]]</calculatedColumnFormula>
    </tableColumn>
    <tableColumn id="29" xr3:uid="{3953844D-5995-43FC-97C1-AF9D4C6133D1}" name="diff" dataDxfId="41">
      <calculatedColumnFormula>OR(schedula[[#This Row],[Rdiff]:[4diff]])</calculatedColumnFormula>
    </tableColumn>
    <tableColumn id="30" xr3:uid="{62992A7A-544C-42E1-96C0-25033E954C26}" name="statusOk" dataDxfId="40">
      <calculatedColumnFormula>schedula[[#This Row],[Status]]="ok"</calculatedColumnFormula>
    </tableColumn>
    <tableColumn id="45" xr3:uid="{BF994EA2-C03D-4AA6-86A9-D79E5F17EF9B}" name="Rname" dataDxfId="39">
      <calculatedColumnFormula>IF(schedula[[#This Row],[Referee]]="",1,_xlfn.XLOOKUP(schedula[[#This Row],[Referee]],people[FirstLast],people[personID],-1))&gt;0</calculatedColumnFormula>
    </tableColumn>
    <tableColumn id="46" xr3:uid="{259505D9-B21E-4BCA-B5AD-A2515541BA87}" name="AR1name" dataDxfId="38">
      <calculatedColumnFormula>IF(schedula[[#This Row],[AR1]]="",1,_xlfn.XLOOKUP(schedula[[#This Row],[AR1]],people[FirstLast],people[personID],-1))&gt;0</calculatedColumnFormula>
    </tableColumn>
    <tableColumn id="43" xr3:uid="{1F0EC996-BBFC-4E5C-A30E-BCC904AB62C8}" name="AR2name" dataDxfId="37">
      <calculatedColumnFormula>IF(schedula[[#This Row],[AR2]]="",1,_xlfn.XLOOKUP(schedula[[#This Row],[AR2]],people[FirstLast],people[personID],-1))&gt;0</calculatedColumnFormula>
    </tableColumn>
    <tableColumn id="44" xr3:uid="{9B2DFCAE-03AD-489C-82E7-99C11E284103}" name="Mname" dataDxfId="36">
      <calculatedColumnFormula>IF(schedula[[#This Row],[Mentor]]="",1,_xlfn.XLOOKUP(schedula[[#This Row],[Mentor]],people[FirstLast],people[personID],-1))&gt;0</calculatedColumnFormula>
    </tableColumn>
    <tableColumn id="42" xr3:uid="{D462753D-3A10-4FB2-A681-5D51D058696F}" name="Aname" dataDxfId="35">
      <calculatedColumnFormula>IF(schedula[[#This Row],[Assessor]]="",1,_xlfn.XLOOKUP(schedula[[#This Row],[Assessor]],people[FirstLast],people[personID],-1))&gt;0</calculatedColumnFormula>
    </tableColumn>
    <tableColumn id="47" xr3:uid="{BA3A0CF8-AA58-45EF-AADF-ED287C74E350}" name="4name" dataDxfId="34">
      <calculatedColumnFormula>IF(schedula[[#This Row],[4th Official]]="",1,_xlfn.XLOOKUP(schedula[[#This Row],[4th Official]],people[FirstLast],people[personID],-1))&gt;0</calculatedColumnFormula>
    </tableColumn>
    <tableColumn id="41" xr3:uid="{A4AADEF9-A8E5-4C6E-9FD2-6D5F89E75F97}" name="Name Ok" dataDxfId="33">
      <calculatedColumnFormula>AND(schedula[[#This Row],[Rname]:[4name]])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D5EF5A-E9D0-4D10-82D4-10D7F6E572E2}" name="TrueFalse" displayName="TrueFalse" ref="B2:B4" totalsRowShown="0">
  <autoFilter ref="B2:B4" xr:uid="{6BDCD748-042B-4E13-A82E-05A93B373E61}"/>
  <tableColumns count="1">
    <tableColumn id="1" xr3:uid="{0A0D6802-2BBF-4E42-B1F2-E34861D909C0}" name="TF"/>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00FAB98-812B-4ECD-A36C-AF182B97988E}" name="acceptDecode" displayName="acceptDecode" ref="D2:E5" totalsRowShown="0">
  <autoFilter ref="D2:E5" xr:uid="{1D318CAB-A0D5-46C4-A110-49455427811A}"/>
  <tableColumns count="2">
    <tableColumn id="1" xr3:uid="{304A59D3-9492-4AC8-8D3E-CC1122A9E718}" name="AcceptStatus"/>
    <tableColumn id="2" xr3:uid="{2AA8E2E3-C66D-4D06-ADF2-3049B9AA878A}" name="Accept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65F3BC2-85F6-407F-8613-A9B3A7BEEAF8}" name="venueLable" displayName="venueLable" ref="G2:H105" totalsRowShown="0">
  <autoFilter ref="G2:H105" xr:uid="{78E870FF-C1A1-45D8-9F2B-8A6F58ED4E8C}"/>
  <sortState xmlns:xlrd2="http://schemas.microsoft.com/office/spreadsheetml/2017/richdata2" ref="G3:H105">
    <sortCondition ref="G2:G105"/>
  </sortState>
  <tableColumns count="2">
    <tableColumn id="1" xr3:uid="{13904714-EE0C-4270-8A55-C277F58AD276}" name="Venue"/>
    <tableColumn id="2" xr3:uid="{8CB04429-622E-4B99-B554-0AD792F42662}" name="Area"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48D3B4-46AD-4222-B44C-867B413AEBF4}" name="CompetitionLable" displayName="CompetitionLable" ref="J2:K5" totalsRowShown="0">
  <autoFilter ref="J2:K5" xr:uid="{99A10855-0D14-483A-9216-A87A3DA0A7F6}"/>
  <sortState xmlns:xlrd2="http://schemas.microsoft.com/office/spreadsheetml/2017/richdata2" ref="J3:K5">
    <sortCondition ref="J2:J5"/>
  </sortState>
  <tableColumns count="2">
    <tableColumn id="1" xr3:uid="{65237AE8-B00F-4C14-8679-335154B32069}" name="Competition" dataDxfId="31"/>
    <tableColumn id="2" xr3:uid="{81047B07-DBE9-40E7-B75B-EE56003E20E0}" name="Labl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0851E9-A2EA-4E6F-B2A7-ED15972E148E}" name="store" displayName="store" ref="A1:AB2" tableType="queryTable" totalsRowShown="0">
  <autoFilter ref="A1:AB2" xr:uid="{AA410028-E33B-4B11-9A8A-7627730C136C}"/>
  <tableColumns count="28">
    <tableColumn id="1" xr3:uid="{CBCCE838-83DB-4996-B24D-96590DBB5C43}" uniqueName="1" name="FixtureID" queryTableFieldId="1"/>
    <tableColumn id="2" xr3:uid="{C4B9818C-BE6A-498B-BA69-2289287E6E83}" uniqueName="2" name="OrgID" queryTableFieldId="2"/>
    <tableColumn id="3" xr3:uid="{37529AF1-36D9-4BD1-B161-254CA98832BB}" uniqueName="3" name="OrgName" queryTableFieldId="3" dataDxfId="30"/>
    <tableColumn id="4" xr3:uid="{3F79A7BC-6E83-4997-B19B-791E19EA48AC}" uniqueName="4" name="SeasonID" queryTableFieldId="4"/>
    <tableColumn id="5" xr3:uid="{C4696D87-87EB-4090-8BBF-A84DECB36F8A}" uniqueName="5" name="SeasonName" queryTableFieldId="5"/>
    <tableColumn id="6" xr3:uid="{57072237-90D6-4C03-8B3B-AD2895D0609E}" uniqueName="6" name="WeekID" queryTableFieldId="6" dataDxfId="29"/>
    <tableColumn id="7" xr3:uid="{2ECCC685-2678-4793-8E64-F01754E6F2CD}" uniqueName="7" name="WeekName" queryTableFieldId="7" dataDxfId="28"/>
    <tableColumn id="8" xr3:uid="{BD68C93C-719C-4DCF-A97D-86DD4C139149}" uniqueName="8" name="Competition" queryTableFieldId="8" dataDxfId="27"/>
    <tableColumn id="9" xr3:uid="{9ED50AA3-6964-441A-954A-4A0CCF9F65CA}" uniqueName="9" name="Date" queryTableFieldId="9" dataDxfId="26"/>
    <tableColumn id="10" xr3:uid="{5D598DBC-A5C8-4B70-9CF9-F88D356AF40C}" uniqueName="10" name="day" queryTableFieldId="10" dataDxfId="25"/>
    <tableColumn id="11" xr3:uid="{566181B3-94CC-40F1-A645-E22C99D643AB}" uniqueName="11" name="Time" queryTableFieldId="11" dataDxfId="24"/>
    <tableColumn id="12" xr3:uid="{E71C8737-5584-4223-9487-F69A9A652F5B}" uniqueName="12" name="Home" queryTableFieldId="12" dataDxfId="23"/>
    <tableColumn id="13" xr3:uid="{3C8781EF-6963-478A-8350-82947EA6BC7A}" uniqueName="13" name="Away" queryTableFieldId="13" dataDxfId="22"/>
    <tableColumn id="14" xr3:uid="{069622AA-9690-4EDF-B215-59B7435C65AC}" uniqueName="14" name="Ground" queryTableFieldId="14" dataDxfId="21"/>
    <tableColumn id="15" xr3:uid="{BA1DDA8F-E67C-43DE-A7BA-58885C72A861}" uniqueName="15" name="Referee" queryTableFieldId="15" dataDxfId="20"/>
    <tableColumn id="16" xr3:uid="{7765F596-A1D2-4F8F-B33C-4762533FB09E}" uniqueName="16" name="AR1" queryTableFieldId="16" dataDxfId="19"/>
    <tableColumn id="17" xr3:uid="{3B7A332F-4D54-4C27-A005-F1669E09A99C}" uniqueName="17" name="AR2" queryTableFieldId="17" dataDxfId="18"/>
    <tableColumn id="18" xr3:uid="{BB75C5C9-E763-4ABB-B303-9720FEBBFC71}" uniqueName="18" name="Mentor" queryTableFieldId="18" dataDxfId="17"/>
    <tableColumn id="19" xr3:uid="{ACF60D23-2769-47D9-9CAF-26EBAC9BDE0C}" uniqueName="19" name="Assessor" queryTableFieldId="19" dataDxfId="16"/>
    <tableColumn id="20" xr3:uid="{46582C87-C0FC-4405-89BB-4F502B2340D3}" uniqueName="20" name="4th Official" queryTableFieldId="20" dataDxfId="15"/>
    <tableColumn id="21" xr3:uid="{02549B6B-CC98-43D4-B2F7-55F41F77A534}" uniqueName="21" name="Other" queryTableFieldId="21" dataDxfId="14"/>
    <tableColumn id="22" xr3:uid="{369FFE64-08F4-45F8-99A9-D79F16825D9E}" uniqueName="22" name="Status" queryTableFieldId="22" dataDxfId="13"/>
    <tableColumn id="23" xr3:uid="{BA778810-E077-4859-B8CD-F17B53CA5317}" uniqueName="23" name="Rstatus" queryTableFieldId="23" dataDxfId="12"/>
    <tableColumn id="24" xr3:uid="{87E87333-5F8F-4040-A266-D8A892121E66}" uniqueName="24" name="AR1status" queryTableFieldId="24" dataDxfId="11"/>
    <tableColumn id="25" xr3:uid="{16147558-0EED-44B6-A969-EDB11B70965A}" uniqueName="25" name="AR2status" queryTableFieldId="25" dataDxfId="10"/>
    <tableColumn id="26" xr3:uid="{4736CDF5-4F43-4F5A-B73D-D9E44B58D5FC}" uniqueName="26" name="Mstatus" queryTableFieldId="26" dataDxfId="9"/>
    <tableColumn id="27" xr3:uid="{A5154F85-B9EF-404F-A4BC-3626019FBA67}" uniqueName="27" name="Astatus" queryTableFieldId="27" dataDxfId="8"/>
    <tableColumn id="28" xr3:uid="{798E96FC-A017-4014-B6FF-F7F9ECFF48DC}" uniqueName="28" name="4status" queryTableFieldId="28" dataDxfId="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F91207B-AB26-4C41-9E2A-4282ECA52A67}" name="people" displayName="people" ref="A1:F2" tableType="queryTable" totalsRowShown="0">
  <autoFilter ref="A1:F2" xr:uid="{56654DF4-685E-463F-9C3B-0364E66C3760}"/>
  <tableColumns count="6">
    <tableColumn id="1" xr3:uid="{49066F1B-F1C8-4DBB-9957-4BA84E7C370F}" uniqueName="1" name="name" queryTableFieldId="1" dataDxfId="6"/>
    <tableColumn id="2" xr3:uid="{0DC7F0B2-982B-48EB-968C-BC13B49C4425}" uniqueName="2" name="personID" queryTableFieldId="2"/>
    <tableColumn id="3" xr3:uid="{D4631829-2C2E-4513-91EA-D68D1ED90470}" uniqueName="3" name="Last" queryTableFieldId="3">
      <calculatedColumnFormula>PROPER(TRIM(LEFT(people[[#This Row],[name]],FIND(",",people[[#This Row],[name]],1)-1)))</calculatedColumnFormula>
    </tableColumn>
    <tableColumn id="4" xr3:uid="{10253737-2EEE-467C-86DB-F5D4D05D223C}" uniqueName="4" name="First" queryTableFieldId="4">
      <calculatedColumnFormula>SUBSTITUTE(PROPER(TRIM(RIGHT(people[[#This Row],[name]],LEN(people[[#This Row],[name]])-FIND(",",people[[#This Row],[name]])))),"�","é")</calculatedColumnFormula>
    </tableColumn>
    <tableColumn id="5" xr3:uid="{5E9A4D41-871E-400F-A686-8D7F9C8A33D6}" uniqueName="5" name="FirstLast" queryTableFieldId="5">
      <calculatedColumnFormula>people[[#This Row],[First]] &amp; " " &amp; people[[#This Row],[Last]]</calculatedColumnFormula>
    </tableColumn>
    <tableColumn id="6" xr3:uid="{46A2615D-B81E-4873-BF5C-806F875EB573}" uniqueName="6" name="Last, First" queryTableFieldId="6" dataDxfId="5">
      <calculatedColumnFormula>SUBSTITUTE(people[[#This Row],[name]],"�","é")</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C546E-00F5-4484-A0DA-E155BBCC89EB}">
  <sheetPr codeName="Sheet1"/>
  <dimension ref="A2:G20"/>
  <sheetViews>
    <sheetView tabSelected="1" topLeftCell="B1" workbookViewId="0">
      <selection activeCell="G9" sqref="G9"/>
    </sheetView>
  </sheetViews>
  <sheetFormatPr defaultRowHeight="15" x14ac:dyDescent="0.25"/>
  <cols>
    <col min="1" max="1" width="8.28515625" hidden="1" customWidth="1"/>
    <col min="2" max="2" width="15.28515625" customWidth="1"/>
    <col min="3" max="3" width="10.7109375" customWidth="1"/>
    <col min="6" max="6" width="17.5703125" bestFit="1" customWidth="1"/>
    <col min="7" max="7" width="29.140625" customWidth="1"/>
    <col min="8" max="8" width="14" bestFit="1" customWidth="1"/>
  </cols>
  <sheetData>
    <row r="2" spans="2:7" ht="15.75" thickBot="1" x14ac:dyDescent="0.3"/>
    <row r="3" spans="2:7" ht="15.75" thickBot="1" x14ac:dyDescent="0.3">
      <c r="F3" s="35" t="s">
        <v>3</v>
      </c>
      <c r="G3" s="36"/>
    </row>
    <row r="4" spans="2:7" ht="15.75" thickBot="1" x14ac:dyDescent="0.3">
      <c r="F4" s="2" t="s">
        <v>2</v>
      </c>
      <c r="G4" s="13">
        <v>2020</v>
      </c>
    </row>
    <row r="5" spans="2:7" x14ac:dyDescent="0.25">
      <c r="F5" s="3" t="s">
        <v>4</v>
      </c>
      <c r="G5" s="10" t="s">
        <v>5</v>
      </c>
    </row>
    <row r="6" spans="2:7" ht="15.75" thickBot="1" x14ac:dyDescent="0.3">
      <c r="F6" s="1" t="s">
        <v>6</v>
      </c>
      <c r="G6" s="12" t="s">
        <v>7</v>
      </c>
    </row>
    <row r="7" spans="2:7" x14ac:dyDescent="0.25">
      <c r="F7" s="3" t="s">
        <v>11</v>
      </c>
      <c r="G7" s="10" t="s">
        <v>8</v>
      </c>
    </row>
    <row r="8" spans="2:7" ht="15.75" thickBot="1" x14ac:dyDescent="0.3">
      <c r="F8" s="1" t="s">
        <v>9</v>
      </c>
      <c r="G8" s="11" t="b">
        <v>0</v>
      </c>
    </row>
    <row r="9" spans="2:7" ht="15.75" thickBot="1" x14ac:dyDescent="0.3">
      <c r="B9" s="7" t="s">
        <v>0</v>
      </c>
      <c r="C9" s="14">
        <v>5</v>
      </c>
      <c r="F9" s="4" t="s">
        <v>12</v>
      </c>
      <c r="G9" s="9"/>
    </row>
    <row r="10" spans="2:7" ht="15.75" thickBot="1" x14ac:dyDescent="0.3">
      <c r="B10" s="8" t="s">
        <v>1</v>
      </c>
      <c r="C10" s="15">
        <f ca="1">TODAY()</f>
        <v>44023</v>
      </c>
    </row>
    <row r="11" spans="2:7" x14ac:dyDescent="0.25">
      <c r="F11" s="29" t="s">
        <v>99</v>
      </c>
      <c r="G11" t="str" cm="1">
        <f t="array" aca="1" ref="G11" ca="1">LEFT(CELL("filename"),FIND("[",CELL("filename"))-1)</f>
        <v>C:\temp\Schedula-Mk2\</v>
      </c>
    </row>
    <row r="12" spans="2:7" x14ac:dyDescent="0.25">
      <c r="F12" s="29" t="s">
        <v>220</v>
      </c>
      <c r="G12" t="str">
        <f ca="1">RIGHT(workbookPath,1)</f>
        <v>\</v>
      </c>
    </row>
    <row r="14" spans="2:7" x14ac:dyDescent="0.25">
      <c r="F14" s="34" t="s">
        <v>218</v>
      </c>
    </row>
    <row r="15" spans="2:7" x14ac:dyDescent="0.25">
      <c r="F15" s="29" t="s">
        <v>214</v>
      </c>
      <c r="G15" t="s">
        <v>215</v>
      </c>
    </row>
    <row r="16" spans="2:7" x14ac:dyDescent="0.25">
      <c r="F16" s="29" t="s">
        <v>216</v>
      </c>
      <c r="G16" t="s">
        <v>217</v>
      </c>
    </row>
    <row r="18" spans="2:7" ht="15.75" hidden="1" thickBot="1" x14ac:dyDescent="0.3">
      <c r="B18" s="6" t="s">
        <v>13</v>
      </c>
      <c r="C18" s="16" t="s">
        <v>14</v>
      </c>
      <c r="D18" s="5" t="s">
        <v>15</v>
      </c>
    </row>
    <row r="20" spans="2:7" x14ac:dyDescent="0.25">
      <c r="F20" s="33" t="s">
        <v>219</v>
      </c>
      <c r="G20" t="s">
        <v>221</v>
      </c>
    </row>
  </sheetData>
  <mergeCells count="1">
    <mergeCell ref="F3:G3"/>
  </mergeCells>
  <dataValidations count="1">
    <dataValidation type="list" allowBlank="1" showInputMessage="1" showErrorMessage="1" sqref="G8" xr:uid="{1793FDA7-1557-4758-A15D-06D6C55FE92C}">
      <formula1>TF</formula1>
    </dataValidation>
  </dataValidations>
  <pageMargins left="0.7" right="0.7" top="0.75" bottom="0.75" header="0.3" footer="0.3"/>
  <drawing r:id="rId1"/>
  <legacyDrawing r:id="rId2"/>
  <controls>
    <mc:AlternateContent xmlns:mc="http://schemas.openxmlformats.org/markup-compatibility/2006">
      <mc:Choice Requires="x14">
        <control shapeId="1032" r:id="rId3" name="CommandButton7">
          <controlPr defaultSize="0" autoLine="0" r:id="rId4">
            <anchor moveWithCells="1">
              <from>
                <xdr:col>2</xdr:col>
                <xdr:colOff>704850</xdr:colOff>
                <xdr:row>16</xdr:row>
                <xdr:rowOff>180975</xdr:rowOff>
              </from>
              <to>
                <xdr:col>5</xdr:col>
                <xdr:colOff>0</xdr:colOff>
                <xdr:row>20</xdr:row>
                <xdr:rowOff>19050</xdr:rowOff>
              </to>
            </anchor>
          </controlPr>
        </control>
      </mc:Choice>
      <mc:Fallback>
        <control shapeId="1032" r:id="rId3" name="CommandButton7"/>
      </mc:Fallback>
    </mc:AlternateContent>
    <mc:AlternateContent xmlns:mc="http://schemas.openxmlformats.org/markup-compatibility/2006">
      <mc:Choice Requires="x14">
        <control shapeId="1030" r:id="rId5" name="CommandButton5">
          <controlPr defaultSize="0" autoLine="0" r:id="rId6">
            <anchor moveWithCells="1">
              <from>
                <xdr:col>3</xdr:col>
                <xdr:colOff>0</xdr:colOff>
                <xdr:row>3</xdr:row>
                <xdr:rowOff>95250</xdr:rowOff>
              </from>
              <to>
                <xdr:col>5</xdr:col>
                <xdr:colOff>9525</xdr:colOff>
                <xdr:row>5</xdr:row>
                <xdr:rowOff>114300</xdr:rowOff>
              </to>
            </anchor>
          </controlPr>
        </control>
      </mc:Choice>
      <mc:Fallback>
        <control shapeId="1030" r:id="rId5" name="CommandButton5"/>
      </mc:Fallback>
    </mc:AlternateContent>
    <mc:AlternateContent xmlns:mc="http://schemas.openxmlformats.org/markup-compatibility/2006">
      <mc:Choice Requires="x14">
        <control shapeId="1025" r:id="rId7" name="CommandButton1">
          <controlPr defaultSize="0" autoLine="0" r:id="rId8">
            <anchor moveWithCells="1">
              <from>
                <xdr:col>0</xdr:col>
                <xdr:colOff>0</xdr:colOff>
                <xdr:row>2</xdr:row>
                <xdr:rowOff>0</xdr:rowOff>
              </from>
              <to>
                <xdr:col>3</xdr:col>
                <xdr:colOff>0</xdr:colOff>
                <xdr:row>4</xdr:row>
                <xdr:rowOff>0</xdr:rowOff>
              </to>
            </anchor>
          </controlPr>
        </control>
      </mc:Choice>
      <mc:Fallback>
        <control shapeId="1025" r:id="rId7" name="CommandButton1"/>
      </mc:Fallback>
    </mc:AlternateContent>
    <mc:AlternateContent xmlns:mc="http://schemas.openxmlformats.org/markup-compatibility/2006">
      <mc:Choice Requires="x14">
        <control shapeId="1026" r:id="rId9" name="CommandButton2">
          <controlPr defaultSize="0" autoLine="0" r:id="rId10">
            <anchor moveWithCells="1">
              <from>
                <xdr:col>0</xdr:col>
                <xdr:colOff>0</xdr:colOff>
                <xdr:row>5</xdr:row>
                <xdr:rowOff>0</xdr:rowOff>
              </from>
              <to>
                <xdr:col>3</xdr:col>
                <xdr:colOff>9525</xdr:colOff>
                <xdr:row>7</xdr:row>
                <xdr:rowOff>0</xdr:rowOff>
              </to>
            </anchor>
          </controlPr>
        </control>
      </mc:Choice>
      <mc:Fallback>
        <control shapeId="1026" r:id="rId9" name="CommandButton2"/>
      </mc:Fallback>
    </mc:AlternateContent>
    <mc:AlternateContent xmlns:mc="http://schemas.openxmlformats.org/markup-compatibility/2006">
      <mc:Choice Requires="x14">
        <control shapeId="1027" r:id="rId11" name="CommandButton3">
          <controlPr defaultSize="0" autoLine="0" r:id="rId12">
            <anchor moveWithCells="1">
              <from>
                <xdr:col>0</xdr:col>
                <xdr:colOff>0</xdr:colOff>
                <xdr:row>14</xdr:row>
                <xdr:rowOff>0</xdr:rowOff>
              </from>
              <to>
                <xdr:col>3</xdr:col>
                <xdr:colOff>9525</xdr:colOff>
                <xdr:row>16</xdr:row>
                <xdr:rowOff>0</xdr:rowOff>
              </to>
            </anchor>
          </controlPr>
        </control>
      </mc:Choice>
      <mc:Fallback>
        <control shapeId="1027" r:id="rId11" name="CommandButton3"/>
      </mc:Fallback>
    </mc:AlternateContent>
    <mc:AlternateContent xmlns:mc="http://schemas.openxmlformats.org/markup-compatibility/2006">
      <mc:Choice Requires="x14">
        <control shapeId="1029" r:id="rId13" name="CommandButton4">
          <controlPr defaultSize="0" autoLine="0" r:id="rId14">
            <anchor moveWithCells="1">
              <from>
                <xdr:col>0</xdr:col>
                <xdr:colOff>0</xdr:colOff>
                <xdr:row>11</xdr:row>
                <xdr:rowOff>0</xdr:rowOff>
              </from>
              <to>
                <xdr:col>3</xdr:col>
                <xdr:colOff>9525</xdr:colOff>
                <xdr:row>13</xdr:row>
                <xdr:rowOff>0</xdr:rowOff>
              </to>
            </anchor>
          </controlPr>
        </control>
      </mc:Choice>
      <mc:Fallback>
        <control shapeId="1029" r:id="rId13" name="CommandButton4"/>
      </mc:Fallback>
    </mc:AlternateContent>
    <mc:AlternateContent xmlns:mc="http://schemas.openxmlformats.org/markup-compatibility/2006">
      <mc:Choice Requires="x14">
        <control shapeId="1031" r:id="rId15" name="CommandButton6">
          <controlPr defaultSize="0" autoLine="0" r:id="rId16">
            <anchor moveWithCells="1">
              <from>
                <xdr:col>3</xdr:col>
                <xdr:colOff>0</xdr:colOff>
                <xdr:row>5</xdr:row>
                <xdr:rowOff>114300</xdr:rowOff>
              </from>
              <to>
                <xdr:col>5</xdr:col>
                <xdr:colOff>9525</xdr:colOff>
                <xdr:row>7</xdr:row>
                <xdr:rowOff>133350</xdr:rowOff>
              </to>
            </anchor>
          </controlPr>
        </control>
      </mc:Choice>
      <mc:Fallback>
        <control shapeId="1031" r:id="rId15" name="CommandButton6"/>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0DBC-6CEE-4118-AAD2-6A5DFC1AD4F3}">
  <sheetPr codeName="Sheet2"/>
  <dimension ref="A1:AU3"/>
  <sheetViews>
    <sheetView workbookViewId="0">
      <selection activeCell="I3" sqref="I3"/>
    </sheetView>
  </sheetViews>
  <sheetFormatPr defaultRowHeight="15" x14ac:dyDescent="0.25"/>
  <cols>
    <col min="1" max="1" width="11.42578125" bestFit="1" customWidth="1"/>
    <col min="2" max="2" width="6.5703125" bestFit="1" customWidth="1"/>
    <col min="3" max="3" width="10.7109375" bestFit="1" customWidth="1"/>
    <col min="4" max="4" width="37.140625" customWidth="1"/>
    <col min="5" max="5" width="21.140625" customWidth="1"/>
    <col min="6" max="6" width="9" bestFit="1" customWidth="1"/>
    <col min="7" max="7" width="22.140625" customWidth="1"/>
    <col min="8" max="8" width="17.5703125" customWidth="1"/>
    <col min="9" max="9" width="23.28515625" bestFit="1" customWidth="1"/>
    <col min="10" max="10" width="15.85546875" customWidth="1"/>
    <col min="11" max="11" width="14.85546875" customWidth="1"/>
    <col min="12" max="12" width="10" bestFit="1" customWidth="1"/>
    <col min="13" max="13" width="19.5703125" bestFit="1" customWidth="1"/>
    <col min="14" max="14" width="13" bestFit="1" customWidth="1"/>
    <col min="15" max="15" width="13.28515625" customWidth="1"/>
    <col min="16" max="16" width="12" customWidth="1"/>
    <col min="17" max="17" width="12.7109375" customWidth="1"/>
    <col min="18" max="18" width="20.7109375" hidden="1" customWidth="1"/>
    <col min="19" max="19" width="6.85546875" bestFit="1" customWidth="1"/>
    <col min="20" max="20" width="8.5703125" customWidth="1"/>
    <col min="21" max="21" width="9.7109375" style="26" hidden="1" customWidth="1"/>
    <col min="22" max="23" width="12" style="26" hidden="1" customWidth="1"/>
    <col min="24" max="24" width="10.42578125" style="26" hidden="1" customWidth="1"/>
    <col min="25" max="25" width="9.85546875" style="26" hidden="1" customWidth="1"/>
    <col min="26" max="26" width="9.5703125" style="26" hidden="1" customWidth="1"/>
    <col min="27" max="27" width="6.28515625" style="26" hidden="1" customWidth="1"/>
    <col min="28" max="28" width="6.42578125" hidden="1" customWidth="1"/>
    <col min="29" max="30" width="9.85546875" hidden="1" customWidth="1"/>
    <col min="31" max="31" width="8.28515625" hidden="1" customWidth="1"/>
    <col min="32" max="32" width="7.7109375" hidden="1" customWidth="1"/>
    <col min="33" max="33" width="7.42578125" hidden="1" customWidth="1"/>
    <col min="34" max="34" width="6.42578125" hidden="1" customWidth="1"/>
    <col min="35" max="35" width="11" hidden="1" customWidth="1"/>
    <col min="36" max="36" width="14.7109375" hidden="1" customWidth="1"/>
    <col min="37" max="37" width="14.5703125" hidden="1" customWidth="1"/>
    <col min="38" max="38" width="20.7109375" hidden="1" customWidth="1"/>
    <col min="39" max="39" width="9.42578125" hidden="1" customWidth="1"/>
    <col min="40" max="41" width="11.7109375" hidden="1" customWidth="1"/>
    <col min="42" max="42" width="10.140625" hidden="1" customWidth="1"/>
    <col min="43" max="43" width="9.5703125" hidden="1" customWidth="1"/>
    <col min="44" max="44" width="9.28515625" hidden="1" customWidth="1"/>
    <col min="45" max="45" width="11.42578125" hidden="1" customWidth="1"/>
    <col min="46" max="46" width="6.85546875" hidden="1" customWidth="1"/>
    <col min="47" max="47" width="11.42578125" hidden="1" customWidth="1"/>
  </cols>
  <sheetData>
    <row r="1" spans="1:47" ht="175.5" customHeight="1" x14ac:dyDescent="0.25">
      <c r="U1" s="25"/>
      <c r="V1" s="25"/>
      <c r="W1" s="25"/>
      <c r="X1" s="25"/>
      <c r="Y1" s="25"/>
      <c r="Z1" s="25"/>
      <c r="AA1"/>
    </row>
    <row r="2" spans="1:47" x14ac:dyDescent="0.25">
      <c r="A2" t="s">
        <v>16</v>
      </c>
      <c r="B2" t="s">
        <v>49</v>
      </c>
      <c r="C2" t="s">
        <v>24</v>
      </c>
      <c r="D2" t="s">
        <v>48</v>
      </c>
      <c r="E2" t="s">
        <v>29</v>
      </c>
      <c r="F2" t="s">
        <v>26</v>
      </c>
      <c r="G2" t="s">
        <v>27</v>
      </c>
      <c r="H2" t="s">
        <v>28</v>
      </c>
      <c r="I2" t="s">
        <v>30</v>
      </c>
      <c r="J2" t="s">
        <v>31</v>
      </c>
      <c r="K2" t="s">
        <v>32</v>
      </c>
      <c r="L2" t="s">
        <v>33</v>
      </c>
      <c r="M2" t="s">
        <v>34</v>
      </c>
      <c r="N2" t="s">
        <v>35</v>
      </c>
      <c r="O2" t="s">
        <v>77</v>
      </c>
      <c r="P2" t="s">
        <v>83</v>
      </c>
      <c r="Q2" t="s">
        <v>85</v>
      </c>
      <c r="R2" t="s">
        <v>87</v>
      </c>
      <c r="S2" t="s">
        <v>50</v>
      </c>
      <c r="T2" t="s">
        <v>37</v>
      </c>
      <c r="U2" t="s">
        <v>51</v>
      </c>
      <c r="V2" t="s">
        <v>52</v>
      </c>
      <c r="W2" t="s">
        <v>53</v>
      </c>
      <c r="X2" t="s">
        <v>54</v>
      </c>
      <c r="Y2" t="s">
        <v>55</v>
      </c>
      <c r="Z2" t="s">
        <v>56</v>
      </c>
      <c r="AA2" t="s">
        <v>65</v>
      </c>
      <c r="AB2" t="s">
        <v>66</v>
      </c>
      <c r="AC2" t="s">
        <v>67</v>
      </c>
      <c r="AD2" t="s">
        <v>68</v>
      </c>
      <c r="AE2" t="s">
        <v>69</v>
      </c>
      <c r="AF2" t="s">
        <v>70</v>
      </c>
      <c r="AG2" t="s">
        <v>57</v>
      </c>
      <c r="AH2" t="s">
        <v>59</v>
      </c>
      <c r="AI2" t="s">
        <v>60</v>
      </c>
      <c r="AJ2" t="s">
        <v>58</v>
      </c>
      <c r="AK2" t="s">
        <v>61</v>
      </c>
      <c r="AL2" t="s">
        <v>62</v>
      </c>
      <c r="AM2" t="s">
        <v>63</v>
      </c>
      <c r="AN2" t="s">
        <v>64</v>
      </c>
      <c r="AO2" t="s">
        <v>92</v>
      </c>
      <c r="AP2" t="s">
        <v>93</v>
      </c>
      <c r="AQ2" t="s">
        <v>94</v>
      </c>
      <c r="AR2" t="s">
        <v>95</v>
      </c>
      <c r="AS2" t="s">
        <v>96</v>
      </c>
      <c r="AT2" t="s">
        <v>97</v>
      </c>
      <c r="AU2" t="s">
        <v>91</v>
      </c>
    </row>
    <row r="3" spans="1:47" x14ac:dyDescent="0.25">
      <c r="A3">
        <v>41743941</v>
      </c>
      <c r="B3" s="17" t="str">
        <f>_xlfn.XLOOKUP(schedula[[#This Row],[FixtureID]],store[FixtureID],store[day])</f>
        <v>Sat</v>
      </c>
      <c r="C3" s="18">
        <f>_xlfn.XLOOKUP(schedula[[#This Row],[FixtureID]],store[FixtureID],store[Date])</f>
        <v>44009</v>
      </c>
      <c r="D3" s="27" t="str">
        <f>_xlfn.XLOOKUP(schedula[[#This Row],[FixtureID]],store[FixtureID],store[Competition])</f>
        <v>National Premier League SA 2020</v>
      </c>
      <c r="E3" s="17" t="str">
        <f>_xlfn.XLOOKUP(schedula[[#This Row],[FixtureID]],store[FixtureID],store[Ground])</f>
        <v>Valo Football Centre</v>
      </c>
      <c r="F3" s="22">
        <f>_xlfn.XLOOKUP(schedula[[#This Row],[FixtureID]],store[FixtureID],store[Time])</f>
        <v>0.75</v>
      </c>
      <c r="G3" s="17" t="str">
        <f>_xlfn.XLOOKUP(schedula[[#This Row],[FixtureID]],store[FixtureID],store[Home])</f>
        <v>Adelaide Olympic</v>
      </c>
      <c r="H3" s="17" t="str">
        <f>_xlfn.XLOOKUP(schedula[[#This Row],[FixtureID]],store[FixtureID],store[Away])</f>
        <v>Adelaide United Fc</v>
      </c>
      <c r="I3" s="17" t="str">
        <f>schedula[[#This Row],[RefDB]]</f>
        <v>Example Name</v>
      </c>
      <c r="J3" s="17"/>
      <c r="K3" s="17" t="str">
        <f>schedula[[#This Row],[AR2DB]]</f>
        <v/>
      </c>
      <c r="L3" s="17" t="str">
        <f>schedula[[#This Row],[MDB]]</f>
        <v/>
      </c>
      <c r="M3" s="17" t="str">
        <f>schedula[[#This Row],[ADB]]</f>
        <v/>
      </c>
      <c r="N3" s="17" t="str">
        <f>schedula[[#This Row],[4DB]]</f>
        <v/>
      </c>
      <c r="O3" s="17" t="str">
        <f>_xlfn.XLOOKUP(schedula[[#This Row],[Ground]],venueLable[Venue],venueLable[Area],"Not Assigned")</f>
        <v>Inner North</v>
      </c>
      <c r="P3" s="17" t="str">
        <f ca="1">IF(schedula[[#This Row],[Date]]&lt;TODAY(),"Complete",IF(schedula[[#This Row],[Date]]&gt;(TODAY()+14),IF(schedula[[#This Row],[Date]]&gt;(TODAY()+28),"28+ Days","14 - 28 Days"),IF(schedula[[#This Row],[Date]]&lt;TODAY()+7,"00 - 07 Days","07 - 14 Days")))</f>
        <v>Complete</v>
      </c>
      <c r="Q3" s="17" t="str">
        <f>_xlfn.XLOOKUP(schedula[[#This Row],[FixtureID]],store[FixtureID],store[OrgName])</f>
        <v>NPLSA</v>
      </c>
      <c r="R3" s="17" t="str">
        <f>_xlfn.XLOOKUP(schedula[[#This Row],[Competition Name]],CompetitionLable[Competition],CompetitionLable[Lable],"Not Assigned")</f>
        <v>Not Assigned</v>
      </c>
      <c r="S3" s="28" t="str">
        <f>HYPERLINK("https://schedula.sportstg.com/index.php?action=admin/appointments/appoint_match&amp;fixtureid=" &amp; schedula[[#This Row],[FixtureID]],"link")</f>
        <v>link</v>
      </c>
      <c r="T3" s="17" t="str">
        <f xml:space="preserve"> IF(schedula[[#This Row],[Name Ok]],"","Bad Name. ") &amp; _xlfn.XLOOKUP(schedula[[#This Row],[FixtureID]],store[FixtureID],store[Status])</f>
        <v>ok</v>
      </c>
      <c r="U3" s="17" t="str">
        <f>_xlfn.XLOOKUP(_xlfn.XLOOKUP(schedula[[#This Row],[FixtureID]],store[FixtureID],store[Referee]),people[Last, First],people[FirstLast],"")</f>
        <v>Example Name</v>
      </c>
      <c r="V3" s="17" t="str">
        <f>_xlfn.XLOOKUP(_xlfn.XLOOKUP(schedula[[#This Row],[FixtureID]],store[FixtureID],store[AR1]),people[Last, First],people[FirstLast],"")</f>
        <v/>
      </c>
      <c r="W3" s="17" t="str">
        <f>_xlfn.XLOOKUP(_xlfn.XLOOKUP(schedula[[#This Row],[FixtureID]],store[FixtureID],store[AR2]),people[Last, First],people[FirstLast],"")</f>
        <v/>
      </c>
      <c r="X3" s="17" t="str">
        <f>_xlfn.XLOOKUP(_xlfn.XLOOKUP(schedula[[#This Row],[FixtureID]],store[FixtureID],store[Mentor]),people[Last, First],people[FirstLast],"")</f>
        <v/>
      </c>
      <c r="Y3" s="17" t="str">
        <f>_xlfn.XLOOKUP(_xlfn.XLOOKUP(schedula[[#This Row],[FixtureID]],store[FixtureID],store[Assessor]),people[Last, First],people[FirstLast],"")</f>
        <v/>
      </c>
      <c r="Z3" s="17" t="str">
        <f>_xlfn.XLOOKUP(_xlfn.XLOOKUP(schedula[[#This Row],[FixtureID]],store[FixtureID],store[4th Official]),people[Last, First],people[FirstLast],"")</f>
        <v/>
      </c>
      <c r="AA3" s="17">
        <f>_xlfn.XLOOKUP(_xlfn.XLOOKUP(schedula[[#This Row],[FixtureID]],store[FixtureID],store[Rstatus]),acceptDecode[AcceptStatus],acceptDecode[AcceptValue],"")</f>
        <v>1</v>
      </c>
      <c r="AB3" s="17" t="str">
        <f>_xlfn.XLOOKUP(_xlfn.XLOOKUP(schedula[[#This Row],[FixtureID]],store[FixtureID],store[AR1status]),acceptDecode[AcceptStatus],acceptDecode[AcceptValue],"")</f>
        <v/>
      </c>
      <c r="AC3" s="17" t="str">
        <f>_xlfn.XLOOKUP(_xlfn.XLOOKUP(schedula[[#This Row],[FixtureID]],store[FixtureID],store[AR2status]),acceptDecode[AcceptStatus],acceptDecode[AcceptValue],"")</f>
        <v/>
      </c>
      <c r="AD3" s="17" t="str">
        <f>_xlfn.XLOOKUP(_xlfn.XLOOKUP(schedula[[#This Row],[FixtureID]],store[FixtureID],store[Mstatus]),acceptDecode[AcceptStatus],acceptDecode[AcceptValue],"")</f>
        <v/>
      </c>
      <c r="AE3" s="17" t="str">
        <f>_xlfn.XLOOKUP(_xlfn.XLOOKUP(schedula[[#This Row],[FixtureID]],store[FixtureID],store[Astatus]),acceptDecode[AcceptStatus],acceptDecode[AcceptValue],"")</f>
        <v/>
      </c>
      <c r="AF3" s="17" t="str">
        <f>_xlfn.XLOOKUP(_xlfn.XLOOKUP(schedula[[#This Row],[FixtureID]],store[FixtureID],store[4status]),acceptDecode[AcceptStatus],acceptDecode[AcceptValue],"")</f>
        <v/>
      </c>
      <c r="AG3" s="17" t="b">
        <f>schedula[[#This Row],[RefDB]]&lt;&gt;schedula[[#This Row],[Referee]]</f>
        <v>0</v>
      </c>
      <c r="AH3" s="17" t="b">
        <f>schedula[[#This Row],[AR1DB]]&lt;&gt;schedula[[#This Row],[AR1]]</f>
        <v>0</v>
      </c>
      <c r="AI3" s="17" t="b">
        <f>schedula[[#This Row],[AR2DB]]&lt;&gt;schedula[[#This Row],[AR2]]</f>
        <v>0</v>
      </c>
      <c r="AJ3" s="17" t="b">
        <f>schedula[[#This Row],[MDB]]&lt;&gt;schedula[[#This Row],[Mentor]]</f>
        <v>0</v>
      </c>
      <c r="AK3" s="17" t="b">
        <f>schedula[[#This Row],[ADB]]&lt;&gt;schedula[[#This Row],[Assessor]]</f>
        <v>0</v>
      </c>
      <c r="AL3" s="17" t="b">
        <f>schedula[[#This Row],[4DB]]&lt;&gt;schedula[[#This Row],[4th Official]]</f>
        <v>0</v>
      </c>
      <c r="AM3" s="17" t="b">
        <f>OR(schedula[[#This Row],[Rdiff]:[4diff]])</f>
        <v>0</v>
      </c>
      <c r="AN3" s="17" t="b">
        <f>schedula[[#This Row],[Status]]="ok"</f>
        <v>1</v>
      </c>
      <c r="AO3" s="17" t="b">
        <f>IF(schedula[[#This Row],[Referee]]="",1,_xlfn.XLOOKUP(schedula[[#This Row],[Referee]],people[FirstLast],people[personID],-1))&gt;0</f>
        <v>1</v>
      </c>
      <c r="AP3" s="17" t="b">
        <f>IF(schedula[[#This Row],[AR1]]="",1,_xlfn.XLOOKUP(schedula[[#This Row],[AR1]],people[FirstLast],people[personID],-1))&gt;0</f>
        <v>1</v>
      </c>
      <c r="AQ3" s="17" t="b">
        <f>IF(schedula[[#This Row],[AR2]]="",1,_xlfn.XLOOKUP(schedula[[#This Row],[AR2]],people[FirstLast],people[personID],-1))&gt;0</f>
        <v>1</v>
      </c>
      <c r="AR3" s="17" t="b">
        <f>IF(schedula[[#This Row],[Mentor]]="",1,_xlfn.XLOOKUP(schedula[[#This Row],[Mentor]],people[FirstLast],people[personID],-1))&gt;0</f>
        <v>1</v>
      </c>
      <c r="AS3" s="17" t="b">
        <f>IF(schedula[[#This Row],[Assessor]]="",1,_xlfn.XLOOKUP(schedula[[#This Row],[Assessor]],people[FirstLast],people[personID],-1))&gt;0</f>
        <v>1</v>
      </c>
      <c r="AT3" s="17" t="b">
        <f>IF(schedula[[#This Row],[4th Official]]="",1,_xlfn.XLOOKUP(schedula[[#This Row],[4th Official]],people[FirstLast],people[personID],-1))&gt;0</f>
        <v>1</v>
      </c>
      <c r="AU3" s="17" t="b">
        <f>AND(schedula[[#This Row],[Rname]:[4name]])</f>
        <v>1</v>
      </c>
    </row>
  </sheetData>
  <phoneticPr fontId="4" type="noConversion"/>
  <conditionalFormatting sqref="I1:N1048576">
    <cfRule type="expression" dxfId="4" priority="20">
      <formula>NOT(AO1)</formula>
    </cfRule>
    <cfRule type="expression" dxfId="3" priority="21">
      <formula>AG1</formula>
    </cfRule>
    <cfRule type="expression" dxfId="2" priority="22">
      <formula>AA1&lt;0</formula>
    </cfRule>
    <cfRule type="expression" dxfId="1" priority="23">
      <formula>AA1=0.1</formula>
    </cfRule>
    <cfRule type="expression" dxfId="0" priority="24">
      <formula>AA1=1</formula>
    </cfRule>
  </conditionalFormatting>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3BE46-AFFE-47A2-9F2A-240FB07836F0}">
  <sheetPr codeName="Sheet6"/>
  <dimension ref="B1:K105"/>
  <sheetViews>
    <sheetView topLeftCell="C1" workbookViewId="0">
      <selection activeCell="G3" sqref="G3"/>
    </sheetView>
  </sheetViews>
  <sheetFormatPr defaultRowHeight="15" x14ac:dyDescent="0.25"/>
  <cols>
    <col min="2" max="2" width="11" customWidth="1"/>
    <col min="4" max="4" width="14.5703125" customWidth="1"/>
    <col min="5" max="5" width="14.28515625" customWidth="1"/>
    <col min="7" max="7" width="48" bestFit="1" customWidth="1"/>
    <col min="8" max="8" width="20.85546875" bestFit="1" customWidth="1"/>
    <col min="10" max="10" width="39.42578125" bestFit="1" customWidth="1"/>
    <col min="11" max="11" width="25.28515625" customWidth="1"/>
  </cols>
  <sheetData>
    <row r="1" spans="2:11" x14ac:dyDescent="0.25">
      <c r="D1" s="37" t="s">
        <v>88</v>
      </c>
      <c r="E1" s="37"/>
      <c r="G1" s="37" t="s">
        <v>89</v>
      </c>
      <c r="H1" s="37"/>
      <c r="J1" s="37" t="s">
        <v>90</v>
      </c>
      <c r="K1" s="37"/>
    </row>
    <row r="2" spans="2:11" x14ac:dyDescent="0.25">
      <c r="B2" t="s">
        <v>10</v>
      </c>
      <c r="D2" t="s">
        <v>72</v>
      </c>
      <c r="E2" t="s">
        <v>75</v>
      </c>
      <c r="G2" t="s">
        <v>76</v>
      </c>
      <c r="H2" t="s">
        <v>77</v>
      </c>
      <c r="J2" t="s">
        <v>23</v>
      </c>
      <c r="K2" t="s">
        <v>84</v>
      </c>
    </row>
    <row r="3" spans="2:11" x14ac:dyDescent="0.25">
      <c r="B3" t="b">
        <v>1</v>
      </c>
      <c r="D3" t="s">
        <v>71</v>
      </c>
      <c r="E3">
        <v>0.1</v>
      </c>
      <c r="G3" s="23" t="s">
        <v>111</v>
      </c>
      <c r="H3" s="30" t="s">
        <v>112</v>
      </c>
      <c r="J3" s="21" t="s">
        <v>41</v>
      </c>
      <c r="K3" t="s">
        <v>86</v>
      </c>
    </row>
    <row r="4" spans="2:11" x14ac:dyDescent="0.25">
      <c r="B4" t="b">
        <v>0</v>
      </c>
      <c r="D4" t="s">
        <v>73</v>
      </c>
      <c r="E4">
        <v>-1</v>
      </c>
      <c r="G4" s="24" t="s">
        <v>113</v>
      </c>
      <c r="H4" s="31" t="s">
        <v>114</v>
      </c>
      <c r="J4" s="20" t="s">
        <v>42</v>
      </c>
      <c r="K4" t="s">
        <v>86</v>
      </c>
    </row>
    <row r="5" spans="2:11" x14ac:dyDescent="0.25">
      <c r="D5" t="s">
        <v>74</v>
      </c>
      <c r="E5">
        <v>1</v>
      </c>
      <c r="G5" s="23" t="s">
        <v>115</v>
      </c>
      <c r="H5" s="30" t="s">
        <v>14</v>
      </c>
      <c r="J5" s="20" t="s">
        <v>39</v>
      </c>
      <c r="K5" t="s">
        <v>86</v>
      </c>
    </row>
    <row r="6" spans="2:11" x14ac:dyDescent="0.25">
      <c r="G6" s="24" t="s">
        <v>116</v>
      </c>
      <c r="H6" s="31" t="s">
        <v>14</v>
      </c>
    </row>
    <row r="7" spans="2:11" x14ac:dyDescent="0.25">
      <c r="G7" s="32" t="s">
        <v>117</v>
      </c>
      <c r="H7" s="30" t="s">
        <v>118</v>
      </c>
    </row>
    <row r="8" spans="2:11" x14ac:dyDescent="0.25">
      <c r="G8" s="32" t="s">
        <v>119</v>
      </c>
      <c r="H8" s="31" t="s">
        <v>118</v>
      </c>
    </row>
    <row r="9" spans="2:11" x14ac:dyDescent="0.25">
      <c r="G9" s="23" t="s">
        <v>120</v>
      </c>
      <c r="H9" s="30" t="s">
        <v>14</v>
      </c>
    </row>
    <row r="10" spans="2:11" x14ac:dyDescent="0.25">
      <c r="G10" s="24" t="s">
        <v>121</v>
      </c>
      <c r="H10" s="31" t="s">
        <v>14</v>
      </c>
    </row>
    <row r="11" spans="2:11" x14ac:dyDescent="0.25">
      <c r="G11" s="23" t="s">
        <v>122</v>
      </c>
      <c r="H11" s="30" t="s">
        <v>114</v>
      </c>
    </row>
    <row r="12" spans="2:11" x14ac:dyDescent="0.25">
      <c r="G12" s="24" t="s">
        <v>123</v>
      </c>
      <c r="H12" s="31" t="s">
        <v>14</v>
      </c>
    </row>
    <row r="13" spans="2:11" x14ac:dyDescent="0.25">
      <c r="G13" s="23" t="s">
        <v>124</v>
      </c>
      <c r="H13" s="30" t="s">
        <v>14</v>
      </c>
    </row>
    <row r="14" spans="2:11" x14ac:dyDescent="0.25">
      <c r="G14" s="24" t="s">
        <v>125</v>
      </c>
      <c r="H14" s="31" t="s">
        <v>14</v>
      </c>
    </row>
    <row r="15" spans="2:11" x14ac:dyDescent="0.25">
      <c r="G15" s="23" t="s">
        <v>126</v>
      </c>
      <c r="H15" s="30" t="s">
        <v>112</v>
      </c>
    </row>
    <row r="16" spans="2:11" x14ac:dyDescent="0.25">
      <c r="G16" s="24" t="s">
        <v>80</v>
      </c>
      <c r="H16" s="31" t="s">
        <v>14</v>
      </c>
    </row>
    <row r="17" spans="7:8" x14ac:dyDescent="0.25">
      <c r="G17" s="23" t="s">
        <v>127</v>
      </c>
      <c r="H17" s="30" t="s">
        <v>14</v>
      </c>
    </row>
    <row r="18" spans="7:8" x14ac:dyDescent="0.25">
      <c r="G18" s="24" t="s">
        <v>128</v>
      </c>
      <c r="H18" s="31" t="s">
        <v>14</v>
      </c>
    </row>
    <row r="19" spans="7:8" x14ac:dyDescent="0.25">
      <c r="G19" s="23" t="s">
        <v>129</v>
      </c>
      <c r="H19" s="30" t="s">
        <v>130</v>
      </c>
    </row>
    <row r="20" spans="7:8" x14ac:dyDescent="0.25">
      <c r="G20" s="24" t="s">
        <v>131</v>
      </c>
      <c r="H20" s="31" t="s">
        <v>132</v>
      </c>
    </row>
    <row r="21" spans="7:8" x14ac:dyDescent="0.25">
      <c r="G21" s="23" t="s">
        <v>133</v>
      </c>
      <c r="H21" s="30" t="s">
        <v>36</v>
      </c>
    </row>
    <row r="22" spans="7:8" x14ac:dyDescent="0.25">
      <c r="G22" s="24" t="s">
        <v>40</v>
      </c>
      <c r="H22" s="31" t="s">
        <v>134</v>
      </c>
    </row>
    <row r="23" spans="7:8" x14ac:dyDescent="0.25">
      <c r="G23" s="23" t="s">
        <v>135</v>
      </c>
      <c r="H23" s="30" t="s">
        <v>136</v>
      </c>
    </row>
    <row r="24" spans="7:8" x14ac:dyDescent="0.25">
      <c r="G24" s="24" t="s">
        <v>137</v>
      </c>
      <c r="H24" s="31" t="s">
        <v>138</v>
      </c>
    </row>
    <row r="25" spans="7:8" x14ac:dyDescent="0.25">
      <c r="G25" s="23" t="s">
        <v>139</v>
      </c>
      <c r="H25" s="30" t="s">
        <v>132</v>
      </c>
    </row>
    <row r="26" spans="7:8" x14ac:dyDescent="0.25">
      <c r="G26" s="24" t="s">
        <v>140</v>
      </c>
      <c r="H26" s="31" t="s">
        <v>138</v>
      </c>
    </row>
    <row r="27" spans="7:8" x14ac:dyDescent="0.25">
      <c r="G27" s="23" t="s">
        <v>78</v>
      </c>
      <c r="H27" s="30" t="s">
        <v>14</v>
      </c>
    </row>
    <row r="28" spans="7:8" x14ac:dyDescent="0.25">
      <c r="G28" s="24" t="s">
        <v>141</v>
      </c>
      <c r="H28" s="31" t="s">
        <v>136</v>
      </c>
    </row>
    <row r="29" spans="7:8" x14ac:dyDescent="0.25">
      <c r="G29" s="23" t="s">
        <v>142</v>
      </c>
      <c r="H29" s="30" t="s">
        <v>132</v>
      </c>
    </row>
    <row r="30" spans="7:8" x14ac:dyDescent="0.25">
      <c r="G30" s="24" t="s">
        <v>143</v>
      </c>
      <c r="H30" s="31" t="s">
        <v>118</v>
      </c>
    </row>
    <row r="31" spans="7:8" x14ac:dyDescent="0.25">
      <c r="G31" s="23" t="s">
        <v>144</v>
      </c>
      <c r="H31" s="30" t="s">
        <v>145</v>
      </c>
    </row>
    <row r="32" spans="7:8" x14ac:dyDescent="0.25">
      <c r="G32" s="24" t="s">
        <v>146</v>
      </c>
      <c r="H32" s="31" t="s">
        <v>118</v>
      </c>
    </row>
    <row r="33" spans="7:8" x14ac:dyDescent="0.25">
      <c r="G33" s="23" t="s">
        <v>147</v>
      </c>
      <c r="H33" s="30" t="s">
        <v>138</v>
      </c>
    </row>
    <row r="34" spans="7:8" x14ac:dyDescent="0.25">
      <c r="G34" s="24" t="s">
        <v>148</v>
      </c>
      <c r="H34" s="31" t="s">
        <v>112</v>
      </c>
    </row>
    <row r="35" spans="7:8" x14ac:dyDescent="0.25">
      <c r="G35" s="23" t="s">
        <v>81</v>
      </c>
      <c r="H35" s="30" t="s">
        <v>134</v>
      </c>
    </row>
    <row r="36" spans="7:8" x14ac:dyDescent="0.25">
      <c r="G36" s="24" t="s">
        <v>149</v>
      </c>
      <c r="H36" s="31" t="s">
        <v>138</v>
      </c>
    </row>
    <row r="37" spans="7:8" x14ac:dyDescent="0.25">
      <c r="G37" s="23" t="s">
        <v>150</v>
      </c>
      <c r="H37" s="30" t="s">
        <v>138</v>
      </c>
    </row>
    <row r="38" spans="7:8" x14ac:dyDescent="0.25">
      <c r="G38" s="24" t="s">
        <v>82</v>
      </c>
      <c r="H38" s="31" t="s">
        <v>14</v>
      </c>
    </row>
    <row r="39" spans="7:8" x14ac:dyDescent="0.25">
      <c r="G39" s="23" t="s">
        <v>151</v>
      </c>
      <c r="H39" s="30" t="s">
        <v>138</v>
      </c>
    </row>
    <row r="40" spans="7:8" x14ac:dyDescent="0.25">
      <c r="G40" s="24" t="s">
        <v>38</v>
      </c>
      <c r="H40" s="31" t="s">
        <v>14</v>
      </c>
    </row>
    <row r="41" spans="7:8" x14ac:dyDescent="0.25">
      <c r="G41" s="23" t="s">
        <v>152</v>
      </c>
      <c r="H41" s="30" t="s">
        <v>14</v>
      </c>
    </row>
    <row r="42" spans="7:8" x14ac:dyDescent="0.25">
      <c r="G42" s="24" t="s">
        <v>153</v>
      </c>
      <c r="H42" s="31" t="s">
        <v>14</v>
      </c>
    </row>
    <row r="43" spans="7:8" x14ac:dyDescent="0.25">
      <c r="G43" s="23" t="s">
        <v>154</v>
      </c>
      <c r="H43" s="30" t="s">
        <v>112</v>
      </c>
    </row>
    <row r="44" spans="7:8" x14ac:dyDescent="0.25">
      <c r="G44" s="24" t="s">
        <v>155</v>
      </c>
      <c r="H44" s="31" t="s">
        <v>138</v>
      </c>
    </row>
    <row r="45" spans="7:8" x14ac:dyDescent="0.25">
      <c r="G45" s="23" t="s">
        <v>156</v>
      </c>
      <c r="H45" s="30" t="s">
        <v>138</v>
      </c>
    </row>
    <row r="46" spans="7:8" x14ac:dyDescent="0.25">
      <c r="G46" s="24" t="s">
        <v>157</v>
      </c>
      <c r="H46" s="31" t="s">
        <v>118</v>
      </c>
    </row>
    <row r="47" spans="7:8" x14ac:dyDescent="0.25">
      <c r="G47" s="23" t="s">
        <v>158</v>
      </c>
      <c r="H47" s="30" t="s">
        <v>118</v>
      </c>
    </row>
    <row r="48" spans="7:8" x14ac:dyDescent="0.25">
      <c r="G48" s="24" t="s">
        <v>159</v>
      </c>
      <c r="H48" s="31" t="s">
        <v>130</v>
      </c>
    </row>
    <row r="49" spans="7:8" x14ac:dyDescent="0.25">
      <c r="G49" s="23" t="s">
        <v>160</v>
      </c>
      <c r="H49" s="30" t="s">
        <v>112</v>
      </c>
    </row>
    <row r="50" spans="7:8" x14ac:dyDescent="0.25">
      <c r="G50" s="24" t="s">
        <v>161</v>
      </c>
      <c r="H50" s="31" t="s">
        <v>132</v>
      </c>
    </row>
    <row r="51" spans="7:8" x14ac:dyDescent="0.25">
      <c r="G51" s="23" t="s">
        <v>162</v>
      </c>
      <c r="H51" s="30" t="s">
        <v>132</v>
      </c>
    </row>
    <row r="52" spans="7:8" x14ac:dyDescent="0.25">
      <c r="G52" s="24" t="s">
        <v>163</v>
      </c>
      <c r="H52" s="31" t="s">
        <v>138</v>
      </c>
    </row>
    <row r="53" spans="7:8" x14ac:dyDescent="0.25">
      <c r="G53" s="23" t="s">
        <v>164</v>
      </c>
      <c r="H53" s="30" t="s">
        <v>114</v>
      </c>
    </row>
    <row r="54" spans="7:8" x14ac:dyDescent="0.25">
      <c r="G54" s="24" t="s">
        <v>165</v>
      </c>
      <c r="H54" s="31" t="s">
        <v>112</v>
      </c>
    </row>
    <row r="55" spans="7:8" x14ac:dyDescent="0.25">
      <c r="G55" s="23" t="s">
        <v>166</v>
      </c>
      <c r="H55" s="30" t="s">
        <v>114</v>
      </c>
    </row>
    <row r="56" spans="7:8" x14ac:dyDescent="0.25">
      <c r="G56" s="24" t="s">
        <v>167</v>
      </c>
      <c r="H56" s="31" t="s">
        <v>114</v>
      </c>
    </row>
    <row r="57" spans="7:8" x14ac:dyDescent="0.25">
      <c r="G57" s="23" t="s">
        <v>168</v>
      </c>
      <c r="H57" s="30" t="s">
        <v>112</v>
      </c>
    </row>
    <row r="58" spans="7:8" x14ac:dyDescent="0.25">
      <c r="G58" s="24" t="s">
        <v>169</v>
      </c>
      <c r="H58" s="31" t="s">
        <v>118</v>
      </c>
    </row>
    <row r="59" spans="7:8" x14ac:dyDescent="0.25">
      <c r="G59" s="23" t="s">
        <v>170</v>
      </c>
      <c r="H59" s="30" t="s">
        <v>14</v>
      </c>
    </row>
    <row r="60" spans="7:8" x14ac:dyDescent="0.25">
      <c r="G60" s="24" t="s">
        <v>171</v>
      </c>
      <c r="H60" s="31" t="s">
        <v>118</v>
      </c>
    </row>
    <row r="61" spans="7:8" x14ac:dyDescent="0.25">
      <c r="G61" s="23" t="s">
        <v>172</v>
      </c>
      <c r="H61" s="30" t="s">
        <v>130</v>
      </c>
    </row>
    <row r="62" spans="7:8" x14ac:dyDescent="0.25">
      <c r="G62" s="24" t="s">
        <v>173</v>
      </c>
      <c r="H62" s="31" t="s">
        <v>118</v>
      </c>
    </row>
    <row r="63" spans="7:8" x14ac:dyDescent="0.25">
      <c r="G63" s="23" t="s">
        <v>174</v>
      </c>
      <c r="H63" s="30" t="s">
        <v>145</v>
      </c>
    </row>
    <row r="64" spans="7:8" x14ac:dyDescent="0.25">
      <c r="G64" s="24" t="s">
        <v>175</v>
      </c>
      <c r="H64" s="31" t="s">
        <v>145</v>
      </c>
    </row>
    <row r="65" spans="7:8" x14ac:dyDescent="0.25">
      <c r="G65" s="23" t="s">
        <v>176</v>
      </c>
      <c r="H65" s="30" t="s">
        <v>145</v>
      </c>
    </row>
    <row r="66" spans="7:8" x14ac:dyDescent="0.25">
      <c r="G66" s="24" t="s">
        <v>177</v>
      </c>
      <c r="H66" s="31" t="s">
        <v>145</v>
      </c>
    </row>
    <row r="67" spans="7:8" x14ac:dyDescent="0.25">
      <c r="G67" s="23" t="s">
        <v>178</v>
      </c>
      <c r="H67" s="30" t="s">
        <v>132</v>
      </c>
    </row>
    <row r="68" spans="7:8" x14ac:dyDescent="0.25">
      <c r="G68" s="24" t="s">
        <v>179</v>
      </c>
      <c r="H68" s="31" t="s">
        <v>14</v>
      </c>
    </row>
    <row r="69" spans="7:8" x14ac:dyDescent="0.25">
      <c r="G69" s="23" t="s">
        <v>180</v>
      </c>
      <c r="H69" s="30" t="s">
        <v>112</v>
      </c>
    </row>
    <row r="70" spans="7:8" x14ac:dyDescent="0.25">
      <c r="G70" s="24" t="s">
        <v>222</v>
      </c>
      <c r="H70" s="30" t="s">
        <v>134</v>
      </c>
    </row>
    <row r="71" spans="7:8" x14ac:dyDescent="0.25">
      <c r="G71" s="24" t="s">
        <v>181</v>
      </c>
      <c r="H71" s="31" t="s">
        <v>118</v>
      </c>
    </row>
    <row r="72" spans="7:8" x14ac:dyDescent="0.25">
      <c r="G72" s="23" t="s">
        <v>182</v>
      </c>
      <c r="H72" s="30" t="s">
        <v>112</v>
      </c>
    </row>
    <row r="73" spans="7:8" x14ac:dyDescent="0.25">
      <c r="G73" s="24" t="s">
        <v>183</v>
      </c>
      <c r="H73" s="31" t="s">
        <v>145</v>
      </c>
    </row>
    <row r="74" spans="7:8" x14ac:dyDescent="0.25">
      <c r="G74" s="23" t="s">
        <v>184</v>
      </c>
      <c r="H74" s="30" t="s">
        <v>114</v>
      </c>
    </row>
    <row r="75" spans="7:8" x14ac:dyDescent="0.25">
      <c r="G75" s="24" t="s">
        <v>185</v>
      </c>
      <c r="H75" s="31" t="s">
        <v>118</v>
      </c>
    </row>
    <row r="76" spans="7:8" x14ac:dyDescent="0.25">
      <c r="G76" s="23" t="s">
        <v>186</v>
      </c>
      <c r="H76" s="30" t="s">
        <v>138</v>
      </c>
    </row>
    <row r="77" spans="7:8" x14ac:dyDescent="0.25">
      <c r="G77" s="24" t="s">
        <v>79</v>
      </c>
      <c r="H77" s="31" t="s">
        <v>14</v>
      </c>
    </row>
    <row r="78" spans="7:8" x14ac:dyDescent="0.25">
      <c r="G78" s="23" t="s">
        <v>187</v>
      </c>
      <c r="H78" s="30" t="s">
        <v>118</v>
      </c>
    </row>
    <row r="79" spans="7:8" x14ac:dyDescent="0.25">
      <c r="G79" s="24" t="s">
        <v>188</v>
      </c>
      <c r="H79" s="31" t="s">
        <v>114</v>
      </c>
    </row>
    <row r="80" spans="7:8" x14ac:dyDescent="0.25">
      <c r="G80" s="23" t="s">
        <v>189</v>
      </c>
      <c r="H80" s="30" t="s">
        <v>14</v>
      </c>
    </row>
    <row r="81" spans="7:8" x14ac:dyDescent="0.25">
      <c r="G81" s="24" t="s">
        <v>190</v>
      </c>
      <c r="H81" s="31" t="s">
        <v>14</v>
      </c>
    </row>
    <row r="82" spans="7:8" x14ac:dyDescent="0.25">
      <c r="G82" s="23" t="s">
        <v>191</v>
      </c>
      <c r="H82" s="30" t="s">
        <v>138</v>
      </c>
    </row>
    <row r="83" spans="7:8" x14ac:dyDescent="0.25">
      <c r="G83" s="24" t="s">
        <v>192</v>
      </c>
      <c r="H83" s="31" t="s">
        <v>134</v>
      </c>
    </row>
    <row r="84" spans="7:8" x14ac:dyDescent="0.25">
      <c r="G84" s="23" t="s">
        <v>193</v>
      </c>
      <c r="H84" s="30" t="s">
        <v>118</v>
      </c>
    </row>
    <row r="85" spans="7:8" x14ac:dyDescent="0.25">
      <c r="G85" s="24" t="s">
        <v>194</v>
      </c>
      <c r="H85" s="31" t="s">
        <v>118</v>
      </c>
    </row>
    <row r="86" spans="7:8" x14ac:dyDescent="0.25">
      <c r="G86" s="23" t="s">
        <v>195</v>
      </c>
      <c r="H86" s="30" t="s">
        <v>114</v>
      </c>
    </row>
    <row r="87" spans="7:8" x14ac:dyDescent="0.25">
      <c r="G87" s="24" t="s">
        <v>196</v>
      </c>
      <c r="H87" s="31" t="s">
        <v>138</v>
      </c>
    </row>
    <row r="88" spans="7:8" x14ac:dyDescent="0.25">
      <c r="G88" s="23" t="s">
        <v>197</v>
      </c>
      <c r="H88" s="30" t="s">
        <v>118</v>
      </c>
    </row>
    <row r="89" spans="7:8" x14ac:dyDescent="0.25">
      <c r="G89" s="24" t="s">
        <v>198</v>
      </c>
      <c r="H89" s="31" t="s">
        <v>114</v>
      </c>
    </row>
    <row r="90" spans="7:8" x14ac:dyDescent="0.25">
      <c r="G90" s="23" t="s">
        <v>199</v>
      </c>
      <c r="H90" s="30" t="s">
        <v>145</v>
      </c>
    </row>
    <row r="91" spans="7:8" x14ac:dyDescent="0.25">
      <c r="G91" s="24" t="s">
        <v>107</v>
      </c>
      <c r="H91" s="31" t="s">
        <v>132</v>
      </c>
    </row>
    <row r="92" spans="7:8" x14ac:dyDescent="0.25">
      <c r="G92" s="23" t="s">
        <v>200</v>
      </c>
      <c r="H92" s="30" t="s">
        <v>132</v>
      </c>
    </row>
    <row r="93" spans="7:8" x14ac:dyDescent="0.25">
      <c r="G93" s="24" t="s">
        <v>201</v>
      </c>
      <c r="H93" s="31" t="s">
        <v>132</v>
      </c>
    </row>
    <row r="94" spans="7:8" x14ac:dyDescent="0.25">
      <c r="G94" s="23" t="s">
        <v>202</v>
      </c>
      <c r="H94" s="30" t="s">
        <v>132</v>
      </c>
    </row>
    <row r="95" spans="7:8" x14ac:dyDescent="0.25">
      <c r="G95" s="24" t="s">
        <v>203</v>
      </c>
      <c r="H95" s="31" t="s">
        <v>145</v>
      </c>
    </row>
    <row r="96" spans="7:8" x14ac:dyDescent="0.25">
      <c r="G96" s="23" t="s">
        <v>204</v>
      </c>
      <c r="H96" s="30" t="s">
        <v>112</v>
      </c>
    </row>
    <row r="97" spans="7:8" x14ac:dyDescent="0.25">
      <c r="G97" s="24" t="s">
        <v>205</v>
      </c>
      <c r="H97" s="31" t="s">
        <v>118</v>
      </c>
    </row>
    <row r="98" spans="7:8" x14ac:dyDescent="0.25">
      <c r="G98" s="23" t="s">
        <v>206</v>
      </c>
      <c r="H98" s="30" t="s">
        <v>138</v>
      </c>
    </row>
    <row r="99" spans="7:8" x14ac:dyDescent="0.25">
      <c r="G99" s="24" t="s">
        <v>207</v>
      </c>
      <c r="H99" s="31" t="s">
        <v>138</v>
      </c>
    </row>
    <row r="100" spans="7:8" x14ac:dyDescent="0.25">
      <c r="G100" s="23" t="s">
        <v>208</v>
      </c>
      <c r="H100" s="30" t="s">
        <v>130</v>
      </c>
    </row>
    <row r="101" spans="7:8" x14ac:dyDescent="0.25">
      <c r="G101" s="24" t="s">
        <v>209</v>
      </c>
      <c r="H101" s="31" t="s">
        <v>112</v>
      </c>
    </row>
    <row r="102" spans="7:8" x14ac:dyDescent="0.25">
      <c r="G102" s="23" t="s">
        <v>210</v>
      </c>
      <c r="H102" s="30" t="s">
        <v>14</v>
      </c>
    </row>
    <row r="103" spans="7:8" x14ac:dyDescent="0.25">
      <c r="G103" s="24" t="s">
        <v>211</v>
      </c>
      <c r="H103" s="31" t="s">
        <v>14</v>
      </c>
    </row>
    <row r="104" spans="7:8" x14ac:dyDescent="0.25">
      <c r="G104" s="23" t="s">
        <v>212</v>
      </c>
      <c r="H104" s="30" t="s">
        <v>14</v>
      </c>
    </row>
    <row r="105" spans="7:8" x14ac:dyDescent="0.25">
      <c r="G105" s="39" t="s">
        <v>213</v>
      </c>
      <c r="H105" s="40" t="s">
        <v>14</v>
      </c>
    </row>
  </sheetData>
  <mergeCells count="3">
    <mergeCell ref="D1:E1"/>
    <mergeCell ref="G1:H1"/>
    <mergeCell ref="J1:K1"/>
  </mergeCells>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225C5-C85A-4CFC-8FB5-2B7BC66765F3}">
  <sheetPr codeName="Sheet7"/>
  <dimension ref="A1:AB2"/>
  <sheetViews>
    <sheetView workbookViewId="0">
      <selection sqref="A1:AB2"/>
    </sheetView>
  </sheetViews>
  <sheetFormatPr defaultRowHeight="15" x14ac:dyDescent="0.25"/>
  <cols>
    <col min="1" max="1" width="11.42578125" bestFit="1" customWidth="1"/>
    <col min="2" max="2" width="8.28515625" bestFit="1" customWidth="1"/>
    <col min="3" max="3" width="11.7109375" bestFit="1" customWidth="1"/>
    <col min="4" max="4" width="11.42578125" bestFit="1" customWidth="1"/>
    <col min="5" max="5" width="14.85546875" bestFit="1" customWidth="1"/>
    <col min="6" max="6" width="21.140625" bestFit="1" customWidth="1"/>
    <col min="7" max="7" width="24.42578125" bestFit="1" customWidth="1"/>
    <col min="8" max="8" width="30.7109375" bestFit="1" customWidth="1"/>
    <col min="9" max="9" width="10.7109375" bestFit="1" customWidth="1"/>
    <col min="10" max="10" width="6.42578125" bestFit="1" customWidth="1"/>
    <col min="11" max="11" width="10.42578125" bestFit="1" customWidth="1"/>
    <col min="12" max="12" width="16.85546875" bestFit="1" customWidth="1"/>
    <col min="13" max="13" width="18" bestFit="1" customWidth="1"/>
    <col min="14" max="14" width="19.42578125" bestFit="1" customWidth="1"/>
    <col min="15" max="15" width="15.140625" bestFit="1" customWidth="1"/>
    <col min="16" max="17" width="6.7109375" bestFit="1" customWidth="1"/>
    <col min="18" max="18" width="10" bestFit="1" customWidth="1"/>
    <col min="19" max="19" width="11" bestFit="1" customWidth="1"/>
    <col min="20" max="20" width="13" bestFit="1" customWidth="1"/>
    <col min="21" max="21" width="8.42578125" bestFit="1" customWidth="1"/>
    <col min="22" max="22" width="8.7109375" bestFit="1" customWidth="1"/>
    <col min="23" max="23" width="9.7109375" bestFit="1" customWidth="1"/>
    <col min="24" max="25" width="12" bestFit="1" customWidth="1"/>
    <col min="26" max="26" width="10.42578125" bestFit="1" customWidth="1"/>
    <col min="27" max="27" width="9.85546875" bestFit="1" customWidth="1"/>
    <col min="28" max="28" width="9.5703125" bestFit="1" customWidth="1"/>
  </cols>
  <sheetData>
    <row r="1" spans="1:28" x14ac:dyDescent="0.25">
      <c r="A1" t="s">
        <v>16</v>
      </c>
      <c r="B1" t="s">
        <v>17</v>
      </c>
      <c r="C1" t="s">
        <v>18</v>
      </c>
      <c r="D1" t="s">
        <v>19</v>
      </c>
      <c r="E1" t="s">
        <v>20</v>
      </c>
      <c r="F1" t="s">
        <v>21</v>
      </c>
      <c r="G1" t="s">
        <v>22</v>
      </c>
      <c r="H1" t="s">
        <v>23</v>
      </c>
      <c r="I1" t="s">
        <v>24</v>
      </c>
      <c r="J1" t="s">
        <v>25</v>
      </c>
      <c r="K1" t="s">
        <v>26</v>
      </c>
      <c r="L1" t="s">
        <v>27</v>
      </c>
      <c r="M1" t="s">
        <v>28</v>
      </c>
      <c r="N1" t="s">
        <v>29</v>
      </c>
      <c r="O1" t="s">
        <v>30</v>
      </c>
      <c r="P1" t="s">
        <v>31</v>
      </c>
      <c r="Q1" t="s">
        <v>32</v>
      </c>
      <c r="R1" t="s">
        <v>33</v>
      </c>
      <c r="S1" t="s">
        <v>34</v>
      </c>
      <c r="T1" t="s">
        <v>35</v>
      </c>
      <c r="U1" t="s">
        <v>36</v>
      </c>
      <c r="V1" t="s">
        <v>37</v>
      </c>
      <c r="W1" t="s">
        <v>65</v>
      </c>
      <c r="X1" t="s">
        <v>66</v>
      </c>
      <c r="Y1" t="s">
        <v>67</v>
      </c>
      <c r="Z1" t="s">
        <v>68</v>
      </c>
      <c r="AA1" t="s">
        <v>69</v>
      </c>
      <c r="AB1" t="s">
        <v>70</v>
      </c>
    </row>
    <row r="2" spans="1:28" x14ac:dyDescent="0.25">
      <c r="A2">
        <v>41743941</v>
      </c>
      <c r="B2">
        <v>97</v>
      </c>
      <c r="C2" s="17" t="s">
        <v>100</v>
      </c>
      <c r="D2">
        <v>3029</v>
      </c>
      <c r="E2">
        <v>2020</v>
      </c>
      <c r="F2" s="17" t="s">
        <v>101</v>
      </c>
      <c r="G2" s="17" t="s">
        <v>102</v>
      </c>
      <c r="H2" s="17" t="s">
        <v>103</v>
      </c>
      <c r="I2" s="18">
        <v>44009</v>
      </c>
      <c r="J2" s="17" t="s">
        <v>104</v>
      </c>
      <c r="K2" s="19">
        <v>0.75</v>
      </c>
      <c r="L2" s="17" t="s">
        <v>105</v>
      </c>
      <c r="M2" s="17" t="s">
        <v>106</v>
      </c>
      <c r="N2" s="17" t="s">
        <v>107</v>
      </c>
      <c r="O2" s="17" t="s">
        <v>110</v>
      </c>
      <c r="P2" s="17" t="s">
        <v>108</v>
      </c>
      <c r="Q2" s="17" t="s">
        <v>108</v>
      </c>
      <c r="R2" s="17" t="s">
        <v>108</v>
      </c>
      <c r="S2" s="17" t="s">
        <v>108</v>
      </c>
      <c r="T2" s="17" t="s">
        <v>108</v>
      </c>
      <c r="U2" s="17" t="s">
        <v>108</v>
      </c>
      <c r="V2" s="17" t="s">
        <v>109</v>
      </c>
      <c r="W2" s="17" t="s">
        <v>74</v>
      </c>
      <c r="X2" s="17" t="s">
        <v>108</v>
      </c>
      <c r="Y2" s="17" t="s">
        <v>108</v>
      </c>
      <c r="Z2" s="17" t="s">
        <v>108</v>
      </c>
      <c r="AA2" s="17" t="s">
        <v>108</v>
      </c>
      <c r="AB2" s="17" t="s">
        <v>108</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C32EE-C6EA-4C7D-B307-D77EF23E79B4}">
  <sheetPr codeName="Sheet8"/>
  <dimension ref="A1:F2"/>
  <sheetViews>
    <sheetView workbookViewId="0">
      <selection activeCell="A2" sqref="A2:XFD2"/>
    </sheetView>
  </sheetViews>
  <sheetFormatPr defaultRowHeight="15" x14ac:dyDescent="0.25"/>
  <cols>
    <col min="1" max="1" width="15.140625" bestFit="1" customWidth="1"/>
    <col min="2" max="2" width="11.28515625" bestFit="1" customWidth="1"/>
    <col min="3" max="3" width="6.7109375" bestFit="1" customWidth="1"/>
    <col min="4" max="4" width="8.5703125" bestFit="1" customWidth="1"/>
    <col min="5" max="5" width="14.42578125" bestFit="1" customWidth="1"/>
    <col min="6" max="6" width="15.140625" bestFit="1" customWidth="1"/>
  </cols>
  <sheetData>
    <row r="1" spans="1:6" x14ac:dyDescent="0.25">
      <c r="A1" t="s">
        <v>43</v>
      </c>
      <c r="B1" t="s">
        <v>44</v>
      </c>
      <c r="C1" t="s">
        <v>46</v>
      </c>
      <c r="D1" t="s">
        <v>45</v>
      </c>
      <c r="E1" t="s">
        <v>47</v>
      </c>
      <c r="F1" t="s">
        <v>98</v>
      </c>
    </row>
    <row r="2" spans="1:6" x14ac:dyDescent="0.25">
      <c r="A2" s="17" t="s">
        <v>110</v>
      </c>
      <c r="B2">
        <v>123456789</v>
      </c>
      <c r="C2" t="str">
        <f>PROPER(TRIM(LEFT(people[[#This Row],[name]],FIND(",",people[[#This Row],[name]],1)-1)))</f>
        <v>Name</v>
      </c>
      <c r="D2" t="str">
        <f>SUBSTITUTE(PROPER(TRIM(RIGHT(people[[#This Row],[name]],LEN(people[[#This Row],[name]])-FIND(",",people[[#This Row],[name]])))),"�","é")</f>
        <v>Example</v>
      </c>
      <c r="E2" t="str">
        <f>people[[#This Row],[First]] &amp; " " &amp; people[[#This Row],[Last]]</f>
        <v>Example Name</v>
      </c>
      <c r="F2" s="17" t="str">
        <f>SUBSTITUTE(people[[#This Row],[name]],"�","é")</f>
        <v>NAME, Example</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E4597-7940-4600-AF5D-2D2571A38CC1}">
  <sheetPr codeName="Sheet5"/>
  <dimension ref="C1:F1"/>
  <sheetViews>
    <sheetView workbookViewId="0"/>
  </sheetViews>
  <sheetFormatPr defaultRowHeight="15" x14ac:dyDescent="0.25"/>
  <cols>
    <col min="3" max="3" width="9.140625" style="18"/>
    <col min="6" max="6" width="9.140625" style="38"/>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C3F19E5-467A-4015-BE60-1FD6CA77139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Control Panel</vt:lpstr>
      <vt:lpstr>Schedula</vt:lpstr>
      <vt:lpstr>Lists</vt:lpstr>
      <vt:lpstr>FixtureDB</vt:lpstr>
      <vt:lpstr>PeopleDB</vt:lpstr>
      <vt:lpstr>Output</vt:lpstr>
      <vt:lpstr>Days_to_pull</vt:lpstr>
      <vt:lpstr>Enable_Proxy</vt:lpstr>
      <vt:lpstr>firstLastPeople</vt:lpstr>
      <vt:lpstr>FixtureFile</vt:lpstr>
      <vt:lpstr>fps</vt:lpstr>
      <vt:lpstr>httpProxy</vt:lpstr>
      <vt:lpstr>PeopleFile</vt:lpstr>
      <vt:lpstr>Season</vt:lpstr>
      <vt:lpstr>start_day</vt:lpstr>
      <vt:lpstr>TF</vt:lpstr>
      <vt:lpstr>Username</vt:lpstr>
      <vt:lpstr>workbookPath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dc:creator>
  <cp:lastModifiedBy>Ian</cp:lastModifiedBy>
  <dcterms:created xsi:type="dcterms:W3CDTF">2020-06-18T06:47:41Z</dcterms:created>
  <dcterms:modified xsi:type="dcterms:W3CDTF">2020-07-11T03:37:06Z</dcterms:modified>
</cp:coreProperties>
</file>